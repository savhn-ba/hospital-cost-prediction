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braj Bhattacharjee\Desktop\Casestudy\Misson Hospital Packeg pricing\"/>
    </mc:Choice>
  </mc:AlternateContent>
  <xr:revisionPtr revIDLastSave="0" documentId="13_ncr:1_{1620F78D-50BC-42A2-AB88-05D08ABC828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pyright @ IIMB" sheetId="5" r:id="rId1"/>
    <sheet name="MH-Raw Data" sheetId="1" r:id="rId2"/>
    <sheet name="Data Description" sheetId="3" r:id="rId3"/>
    <sheet name="MH-Modified Data" sheetId="4" r:id="rId4"/>
  </sheets>
  <definedNames>
    <definedName name="_xlnm._FilterDatabase" localSheetId="3" hidden="1">'MH-Modified Data'!$A$1:$AT$249</definedName>
    <definedName name="_xlnm._FilterDatabase" localSheetId="1" hidden="1">'MH-Raw Data'!$A$1:$Y$249</definedName>
    <definedName name="solver_eng" localSheetId="3" hidden="1">1</definedName>
    <definedName name="solver_neg" localSheetId="3" hidden="1">1</definedName>
    <definedName name="solver_num" localSheetId="3" hidden="1">0</definedName>
    <definedName name="solver_opt" localSheetId="3" hidden="1">'MH-Modified Data'!$AF$1</definedName>
    <definedName name="solver_typ" localSheetId="3" hidden="1">1</definedName>
    <definedName name="solver_userid" localSheetId="3" hidden="1">412583</definedName>
    <definedName name="solver_val" localSheetId="3" hidden="1">0</definedName>
    <definedName name="solver_ver" localSheetId="3" hidden="1">3</definedName>
    <definedName name="xlm_703_1" localSheetId="3" hidden="1">"'{""wkbk"":""IMB 529 Mission Hospital Data 2017.xlsx"",""wksheet"":""MH-Modified Data"",""data_range"":""$A$1:$BC$249"",""has_header"":true,""firstRow"":1,""rows"":248,""train_rows"":248,""validation_rows"":0,""test_rows"":0,""isPartitionSheet"":false,""partitionData"":false,""trainD"</definedName>
    <definedName name="xlm_703_1" localSheetId="1" hidden="1">"'{""wkbk"":""IMB 529 Mission Hospital Data 2017.xlsx"",""wksheet"":""MH-Raw Data"",""data_range"":""$A$1:$Y$249"",""has_header"":true,""firstRow"":1,""rows"":248,""train_rows"":248,""validation_rows"":0,""test_rows"":0,""isPartitionSheet"":false,""partitionData"":false,""trainDetailR"</definedName>
    <definedName name="xlm_703_2" localSheetId="3" hidden="1">"'etailRpt"":false,""trainSummaryRpt"":true,""trainLiftChart"":false,""trainROCCurve"":false,""newDataWorksheet"":false,""newDataDatabase"":false,""rescalerParams"":{""technique"":null,""correction"":null,""normType"":null,""rescale"":false},""estimatorParams"":{""treeLimitMask"":"</definedName>
    <definedName name="xlm_703_2" localSheetId="1" hidden="1">"'pt"":false,""trainSummaryRpt"":true,""trainLiftChart"":false,""trainROCCurve"":false,""newDataWorksheet"":false,""newDataDatabase"":false,""rescalerParams"":{""technique"":null,""correction"":null,""normType"":null,""rescale"":false},""estimatorParams"":{""treeLimitMask"":2,""tre"</definedName>
    <definedName name="xlm_703_3" localSheetId="3" hidden="1">"'2,""treeLimitLevels"":2,""treeLimitNodes"":null,""treeLimitSplits"":null,""treeLimitLeafRecords"":null},""modelParams"":{""prune"":false,""scoringTree"":1,""numDecisionNodesScoring"":null},""displayParams"":{""showFeatureImportance"":false,""maxLevels"":7,""displayTreeMask"":1,"</definedName>
    <definedName name="xlm_703_3" localSheetId="1" hidden="1">"'eLimitLevels"":2,""treeLimitNodes"":null,""treeLimitSplits"":null,""treeLimitLeafRecords"":null},""modelParams"":{""prune"":false,""scoringTree"":1,""numDecisionNodesScoring"":null},""displayParams"":{""showFeatureImportance"":false,""maxLevels"":7,""displayTreeMask"":1,""numDe"</definedName>
    <definedName name="xlm_703_4" localSheetId="3" hidden="1">"'""numDecisionNodesDisplay"":null},""extraParams"":null}"</definedName>
    <definedName name="xlm_703_4" localSheetId="1" hidden="1">"'cisionNodesDisplay"":null},""extraParams"":null}"</definedName>
    <definedName name="xlm_pdnc_1" localSheetId="3" hidden="1">"'{""input_cols"":[{""varName"":""AGE""}],""cat_cols"":[],""output_var"":{""varName"":""TOTAL COST TO HOSPITAL""}}"</definedName>
    <definedName name="xlm_pdnc_1" localSheetId="1" hidden="1">"'{""input_cols"":[{""varName"":""HB""}],""cat_cols"":[],""output_var"":{""varName"":""TOTAL COST TO HOSPITAL""}}"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dineshk</author>
  </authors>
  <commentList>
    <comment ref="B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dineshk:</t>
        </r>
        <r>
          <rPr>
            <sz val="9"/>
            <color indexed="81"/>
            <rFont val="Tahoma"/>
            <family val="2"/>
          </rPr>
          <t xml:space="preserve">
Age in Years</t>
        </r>
      </text>
    </comment>
    <comment ref="C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dineshk:</t>
        </r>
        <r>
          <rPr>
            <sz val="9"/>
            <color indexed="81"/>
            <rFont val="Tahoma"/>
            <family val="2"/>
          </rPr>
          <t xml:space="preserve">
M = Male
F = Femal</t>
        </r>
      </text>
    </comment>
    <comment ref="E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dineshk:</t>
        </r>
        <r>
          <rPr>
            <sz val="9"/>
            <color indexed="81"/>
            <rFont val="Tahoma"/>
            <family val="2"/>
          </rPr>
          <t xml:space="preserve">
Key complaints at the time of admission</t>
        </r>
      </text>
    </comment>
    <comment ref="F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dineshk:</t>
        </r>
        <r>
          <rPr>
            <sz val="9"/>
            <color indexed="81"/>
            <rFont val="Tahoma"/>
            <family val="2"/>
          </rPr>
          <t xml:space="preserve">
Body Weight in Kg</t>
        </r>
      </text>
    </comment>
    <comment ref="G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dineshk:</t>
        </r>
        <r>
          <rPr>
            <sz val="9"/>
            <color indexed="81"/>
            <rFont val="Tahoma"/>
            <family val="2"/>
          </rPr>
          <t xml:space="preserve">
Body Height in cm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tc={47F3A531-CB52-4793-AD37-238C987D32AB}</author>
    <author>tc={BA1C43BB-08EA-419C-B0DD-95FD9D4F8113}</author>
    <author>tc={EA63E12E-82D1-454D-A830-6B8906E7F305}</author>
    <author>tc={8BD1755E-928E-44A3-813A-C35F380680F6}</author>
    <author>tc={7E804EA7-E43B-4952-BD8B-7B99FFC4323B}</author>
    <author>tc={E50E52F5-A8D7-424D-9F85-4DD0018816FE}</author>
    <author>tc={B29C2D8D-2CE3-46F2-8C8B-8865B3B4EFF2}</author>
    <author>tc={4E31F27C-F3AC-4366-AE1F-084E22925EC9}</author>
    <author>tc={27F05F4C-0726-45F2-A5AB-179615ED2D6B}</author>
    <author>tc={3AB166D0-6BA5-4C4C-AFDD-B16BA338EF76}</author>
    <author>tc={E6A8A8F9-B491-4BAB-B3B1-E5C28CAC9232}</author>
    <author>tc={C617A733-4439-444F-B50F-B7DBDB9C8958}</author>
    <author>tc={5742A693-A439-41A5-962A-FDD3B8919A3B}</author>
    <author>tc={44C53F13-4AF0-4F3B-9579-77147E1F7A10}</author>
    <author>tc={559565A8-BEAB-48D7-9559-607B092BF3EA}</author>
    <author>tc={1CA843F5-5A0C-4AFF-8848-BC75E125B065}</author>
  </authors>
  <commentList>
    <comment ref="B1" authorId="0" shapeId="0" xr:uid="{47F3A531-CB52-4793-AD37-238C987D32AB}">
      <text>
        <t>[Threaded comment]
Your version of Excel allows you to read this threaded comment; however, any edits to it will get removed if the file is opened in a newer version of Excel. Learn more: https://go.microsoft.com/fwlink/?linkid=870924
Comment:
    Age of patient in years</t>
      </text>
    </comment>
    <comment ref="C1" authorId="1" shapeId="0" xr:uid="{BA1C43BB-08EA-419C-B0DD-95FD9D4F8113}">
      <text>
        <t>[Threaded comment]
Your version of Excel allows you to read this threaded comment; however, any edits to it will get removed if the file is opened in a newer version of Excel. Learn more: https://go.microsoft.com/fwlink/?linkid=870924
Comment:
    M for Male; F for Female</t>
      </text>
    </comment>
    <comment ref="D1" authorId="2" shapeId="0" xr:uid="{EA63E12E-82D1-454D-A830-6B8906E7F305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Married and Unmarried</t>
      </text>
    </comment>
    <comment ref="T1" authorId="3" shapeId="0" xr:uid="{8BD1755E-928E-44A3-813A-C35F380680F6}">
      <text>
        <t>[Threaded comment]
Your version of Excel allows you to read this threaded comment; however, any edits to it will get removed if the file is opened in a newer version of Excel. Learn more: https://go.microsoft.com/fwlink/?linkid=870924
Comment:
    Weight in Kilograms</t>
      </text>
    </comment>
    <comment ref="U1" authorId="4" shapeId="0" xr:uid="{7E804EA7-E43B-4952-BD8B-7B99FFC4323B}">
      <text>
        <t>[Threaded comment]
Your version of Excel allows you to read this threaded comment; however, any edits to it will get removed if the file is opened in a newer version of Excel. Learn more: https://go.microsoft.com/fwlink/?linkid=870924
Comment:
    Height in CM</t>
      </text>
    </comment>
    <comment ref="W1" authorId="5" shapeId="0" xr:uid="{E50E52F5-A8D7-424D-9F85-4DD0018816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Respiratory Rate</t>
      </text>
    </comment>
    <comment ref="Y1" authorId="6" shapeId="0" xr:uid="{B29C2D8D-2CE3-46F2-8C8B-8865B3B4EFF2}">
      <text>
        <t>[Threaded comment]
Your version of Excel allows you to read this threaded comment; however, any edits to it will get removed if the file is opened in a newer version of Excel. Learn more: https://go.microsoft.com/fwlink/?linkid=870924
Comment:
    Diabetes Type 1</t>
      </text>
    </comment>
    <comment ref="Z1" authorId="7" shapeId="0" xr:uid="{4E31F27C-F3AC-4366-AE1F-084E22925EC9}">
      <text>
        <t>[Threaded comment]
Your version of Excel allows you to read this threaded comment; however, any edits to it will get removed if the file is opened in a newer version of Excel. Learn more: https://go.microsoft.com/fwlink/?linkid=870924
Comment:
    Diabetes Type II</t>
      </text>
    </comment>
    <comment ref="AA1" authorId="8" shapeId="0" xr:uid="{27F05F4C-0726-45F2-A5AB-179615ED2D6B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hypertension</t>
      </text>
    </comment>
    <comment ref="AB1" authorId="9" shapeId="0" xr:uid="{3AB166D0-6BA5-4C4C-AFDD-B16BA338EF76}">
      <text>
        <t>[Threaded comment]
Your version of Excel allows you to read this threaded comment; however, any edits to it will get removed if the file is opened in a newer version of Excel. Learn more: https://go.microsoft.com/fwlink/?linkid=870924
Comment:
    Hypertension and Diabetes</t>
      </text>
    </comment>
    <comment ref="AC1" authorId="10" shapeId="0" xr:uid="{E6A8A8F9-B491-4BAB-B3B1-E5C28CAC9232}">
      <text>
        <t>[Threaded comment]
Your version of Excel allows you to read this threaded comment; however, any edits to it will get removed if the file is opened in a newer version of Excel. Learn more: https://go.microsoft.com/fwlink/?linkid=870924
Comment:
    Hypertension, Anxiety, Depression &amp; Chest Pain)</t>
      </text>
    </comment>
    <comment ref="AF1" authorId="11" shapeId="0" xr:uid="{C617A733-4439-444F-B50F-B7DBDB9C8958}">
      <text>
        <t>[Threaded comment]
Your version of Excel allows you to read this threaded comment; however, any edits to it will get removed if the file is opened in a newer version of Excel. Learn more: https://go.microsoft.com/fwlink/?linkid=870924
Comment:
    Haemoglobin count</t>
      </text>
    </comment>
    <comment ref="AN1" authorId="12" shapeId="0" xr:uid="{5742A693-A439-41A5-962A-FDD3B8919A3B}">
      <text>
        <t>[Threaded comment]
Your version of Excel allows you to read this threaded comment; however, any edits to it will get removed if the file is opened in a newer version of Excel. Learn more: https://go.microsoft.com/fwlink/?linkid=870924
Comment:
    Outcome Variable</t>
      </text>
    </comment>
    <comment ref="AO1" authorId="13" shapeId="0" xr:uid="{44C53F13-4AF0-4F3B-9579-77147E1F7A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 of days the patient stayed in the hospital </t>
      </text>
    </comment>
    <comment ref="AP1" authorId="14" shapeId="0" xr:uid="{559565A8-BEAB-48D7-9559-607B092BF3EA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days the patient stayed in ICU</t>
      </text>
    </comment>
    <comment ref="AQ1" authorId="15" shapeId="0" xr:uid="{1CA843F5-5A0C-4AFF-8848-BC75E125B065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days the patient stayed in the Ward</t>
      </text>
    </comment>
  </commentList>
</comments>
</file>

<file path=xl/sharedStrings.xml><?xml version="1.0" encoding="utf-8"?>
<sst xmlns="http://schemas.openxmlformats.org/spreadsheetml/2006/main" count="3911" uniqueCount="114">
  <si>
    <t>SL.</t>
  </si>
  <si>
    <t>AGE</t>
  </si>
  <si>
    <t>GENDER</t>
  </si>
  <si>
    <t>MARITAL STATUS</t>
  </si>
  <si>
    <t>BODY WEIGHT</t>
  </si>
  <si>
    <t>BODY HEIGHT</t>
  </si>
  <si>
    <t>HR PULSE</t>
  </si>
  <si>
    <t>RR</t>
  </si>
  <si>
    <t>HB</t>
  </si>
  <si>
    <t>UREA</t>
  </si>
  <si>
    <t>CREATININE</t>
  </si>
  <si>
    <t>MODE OF ARRIVAL</t>
  </si>
  <si>
    <t>STATE AT THE TIME OF ARRIVAL</t>
  </si>
  <si>
    <t>TYPE OF ADMSN</t>
  </si>
  <si>
    <t>M</t>
  </si>
  <si>
    <t>MARRIED</t>
  </si>
  <si>
    <t>other- heart</t>
  </si>
  <si>
    <t>80</t>
  </si>
  <si>
    <t>AMBULANCE</t>
  </si>
  <si>
    <t>ALERT</t>
  </si>
  <si>
    <t>EMERGENCY</t>
  </si>
  <si>
    <t>CAD-DVD</t>
  </si>
  <si>
    <t>CAD-TVD</t>
  </si>
  <si>
    <t>Diabetes2</t>
  </si>
  <si>
    <t>WALKED IN</t>
  </si>
  <si>
    <t>ELECTIVE</t>
  </si>
  <si>
    <t>hypertension1</t>
  </si>
  <si>
    <t>F</t>
  </si>
  <si>
    <t>RHD</t>
  </si>
  <si>
    <t>UNMARRIED</t>
  </si>
  <si>
    <t>hypertension3</t>
  </si>
  <si>
    <t>hypertension2</t>
  </si>
  <si>
    <t>Diabetes1</t>
  </si>
  <si>
    <t>CAD-SVD</t>
  </si>
  <si>
    <t>other- respiratory</t>
  </si>
  <si>
    <t>CONFUSED</t>
  </si>
  <si>
    <t/>
  </si>
  <si>
    <t>TRANSFERRED</t>
  </si>
  <si>
    <t>other-nervous</t>
  </si>
  <si>
    <t>Hypertension1</t>
  </si>
  <si>
    <t>other</t>
  </si>
  <si>
    <t>other-tertalogy</t>
  </si>
  <si>
    <t>ACHD</t>
  </si>
  <si>
    <t>OS-ASD</t>
  </si>
  <si>
    <t>PM-VSD</t>
  </si>
  <si>
    <t>CAD-VSD</t>
  </si>
  <si>
    <t>other-general</t>
  </si>
  <si>
    <t>Y</t>
  </si>
  <si>
    <t>N</t>
  </si>
  <si>
    <t>Male</t>
  </si>
  <si>
    <t>1. Data Description sheet: Provides data dictionary</t>
  </si>
  <si>
    <t>Data Code</t>
  </si>
  <si>
    <t>Description</t>
  </si>
  <si>
    <t>This file has the following three sheets</t>
  </si>
  <si>
    <t>2. Raw data : Contains information about 248 patients</t>
  </si>
  <si>
    <t>3. Modified data: Raw data is modified data by introducing dumy variables</t>
  </si>
  <si>
    <t>Age of the patient</t>
  </si>
  <si>
    <t>Weight of the patient</t>
  </si>
  <si>
    <t>Height of the patient</t>
  </si>
  <si>
    <t>Pulse of patient at the time of admission</t>
  </si>
  <si>
    <t>Respiratory rate of patient</t>
  </si>
  <si>
    <t>Hemoglobin count of patient</t>
  </si>
  <si>
    <t>Married</t>
  </si>
  <si>
    <t>Un Married</t>
  </si>
  <si>
    <t>Female</t>
  </si>
  <si>
    <t>Diabetes1 (Only Diabetes)</t>
  </si>
  <si>
    <t>Diabetes2 (Diabetes and Hypertension)</t>
  </si>
  <si>
    <t>Other (cold, loose motions, jaundice etc)</t>
  </si>
  <si>
    <t>Ambulance</t>
  </si>
  <si>
    <t>Transferred</t>
  </si>
  <si>
    <t>Walked In</t>
  </si>
  <si>
    <t>Alert</t>
  </si>
  <si>
    <t>Confused</t>
  </si>
  <si>
    <t>Elective</t>
  </si>
  <si>
    <t>Emergency</t>
  </si>
  <si>
    <t>Actual cost incurred by the hospital</t>
  </si>
  <si>
    <t>Number of days patient stayed in the hospital</t>
  </si>
  <si>
    <t>Number of days patient stayed in the ICU</t>
  </si>
  <si>
    <t>Number of days patient stayed in the ward</t>
  </si>
  <si>
    <t>Any implant done on the patient</t>
  </si>
  <si>
    <t>Total cost of all the implants done on the patient if any</t>
  </si>
  <si>
    <t>Marital Status of the patient:</t>
  </si>
  <si>
    <t>Gender code for patient:</t>
  </si>
  <si>
    <t>Code given to the past medical history of the patient:</t>
  </si>
  <si>
    <t>Way in which the patient arrived the hospital:</t>
  </si>
  <si>
    <t>State in which the patient arrived:</t>
  </si>
  <si>
    <t>Type of admission for the patient:</t>
  </si>
  <si>
    <t>Codes given to the key complaints faced by the patient:</t>
  </si>
  <si>
    <t>Hypertension1 (Only Hypertension)</t>
  </si>
  <si>
    <t>Hypertension3 (Hypertension, Anxiety, depression, chest pain)</t>
  </si>
  <si>
    <t>KEY COMPLAINTS -CODE</t>
  </si>
  <si>
    <t>BP -HIGH</t>
  </si>
  <si>
    <t>BP-LOW</t>
  </si>
  <si>
    <t>PAST MEDICAL HISTORY CODE</t>
  </si>
  <si>
    <t xml:space="preserve">TOTAL COST TO HOSPITAL </t>
  </si>
  <si>
    <t>TOTAL LENGTH OF STAY</t>
  </si>
  <si>
    <t>LENGTH OF STAY - ICU</t>
  </si>
  <si>
    <t>LENGTH OF STAY- WARD</t>
  </si>
  <si>
    <t>IMPLANT USED (Y/N)</t>
  </si>
  <si>
    <t xml:space="preserve">IMPLANT </t>
  </si>
  <si>
    <t>COST OF IMPLANT</t>
  </si>
  <si>
    <t>High BP of patient (Systolic)</t>
  </si>
  <si>
    <t>Low BP of patient (Diastolic)</t>
  </si>
  <si>
    <t>KEY COMPLAINTS CODE</t>
  </si>
  <si>
    <t>BP-HIGH</t>
  </si>
  <si>
    <t>TYPE OF ADMISSION</t>
  </si>
  <si>
    <t>TOTAL COST TO HOSPITAL</t>
  </si>
  <si>
    <t>LENGTH OF STAY-ICU</t>
  </si>
  <si>
    <t>LENGTH OF STAY-WARD</t>
  </si>
  <si>
    <t>BMI</t>
  </si>
  <si>
    <t>NONE</t>
  </si>
  <si>
    <t>None</t>
  </si>
  <si>
    <t>This spreadsheet was prepared by U Dinesh Kumar, Professor of Quantitative Methods and Information Systems. Copyright © 2024 by the Indian Institute of Management Bangalore. No part of the publication may be reproduced or transmitted in any form or by any means – electronic, mechanical, photocopying, recording, or otherwise (including internet) – without the permission of the Indian Institute of Management Bangalore.</t>
  </si>
  <si>
    <t>Hypertension2 (Hypertension and Diabetes)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</si>
</sst>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14" x14ac:knownFonts="1">
    <font>
      <sz val="11"/>
      <color theme="1"/>
      <name val="Calibri"/>
      <family val="2"/>
      <scheme val="minor"/>
    </font>
    <font>
      <b/>
      <sz val="9"/>
      <color theme="1"/>
      <name val="Comic Sans MS"/>
      <family val="4"/>
    </font>
    <font>
      <sz val="9"/>
      <color theme="1"/>
      <name val="Comic Sans MS"/>
      <family val="4"/>
    </font>
    <font>
      <sz val="9"/>
      <name val="Comic Sans MS"/>
      <family val="4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color theme="1"/>
      <name val="arial"/>
      <family val="2"/>
    </font>
    <font>
      <i/>
      <sz val="10"/>
      <color indexed="8"/>
      <name val="Times New Roman"/>
      <family val="1"/>
    </font>
    <font>
      <sz val="9"/>
      <color theme="1"/>
      <name val="arial"/>
      <family val="2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4" fontId="8" fillId="0" borderId="0"/>
    <xf numFmtId="0" fontId="7" fillId="0" borderId="0"/>
    <xf numFmtId="0" fontId="9" fillId="0" borderId="0"/>
    <xf numFmtId="0" fontId="9" fillId="0" borderId="0"/>
    <xf numFmtId="0" fontId="10" fillId="0" borderId="0"/>
    <xf numFmtId="0" fontId="12" fillId="0" borderId="0"/>
  </cellStyleXfs>
  <cellXfs count="5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0" fillId="0" borderId="3" xfId="0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 vertical="center" wrapText="1"/>
    </xf>
    <xf numFmtId="1" fontId="2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3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0" fillId="0" borderId="3" xfId="0" applyBorder="1" applyAlignment="1">
      <alignment horizontal="left" vertical="center" indent="1"/>
    </xf>
    <xf numFmtId="2" fontId="2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7" xfId="0" applyBorder="1"/>
    <xf numFmtId="0" fontId="1" fillId="4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" fontId="3" fillId="0" borderId="12" xfId="0" applyNumberFormat="1" applyFont="1" applyBorder="1" applyAlignment="1">
      <alignment horizontal="center" vertical="center" wrapText="1"/>
    </xf>
    <xf numFmtId="0" fontId="0" fillId="0" borderId="12" xfId="0" applyBorder="1"/>
    <xf numFmtId="0" fontId="0" fillId="0" borderId="8" xfId="0" applyBorder="1"/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justify" vertical="center"/>
    </xf>
    <xf numFmtId="0" fontId="11" fillId="0" borderId="0" xfId="5" applyFont="1" applyAlignment="1">
      <alignment horizontal="justify" vertical="top" wrapText="1"/>
    </xf>
    <xf numFmtId="0" fontId="10" fillId="0" borderId="0" xfId="5" applyAlignment="1">
      <alignment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7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4" xr:uid="{00000000-0005-0000-0000-000003000000}"/>
    <cellStyle name="Normal 3" xfId="3" xr:uid="{00000000-0005-0000-0000-000004000000}"/>
    <cellStyle name="Normal 3 2" xfId="5" xr:uid="{00000000-0005-0000-0000-000005000000}"/>
    <cellStyle name="Normal 4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47624</xdr:rowOff>
    </xdr:from>
    <xdr:to>
      <xdr:col>1</xdr:col>
      <xdr:colOff>3977640</xdr:colOff>
      <xdr:row>5</xdr:row>
      <xdr:rowOff>157352</xdr:rowOff>
    </xdr:to>
    <xdr:pic>
      <xdr:nvPicPr>
        <xdr:cNvPr id="2" name="Picture 1" descr="http://iimb-cpp.iimb.ernet.in/docs/iimb-logo/IIMB%20Logo%20unit%20Final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38124"/>
          <a:ext cx="3901440" cy="87172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nesh Kumar, U" id="{649628CF-E63D-447D-80C5-8A54CB5C58EE}" userId="S::dineshk@iimb.ac.in::027ec79c-bdc1-4561-b6e6-a5674ee06e0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3-12-08T11:17:36.11" personId="{649628CF-E63D-447D-80C5-8A54CB5C58EE}" id="{47F3A531-CB52-4793-AD37-238C987D32AB}">
    <text>Age of patient in years</text>
  </threadedComment>
  <threadedComment ref="C1" dT="2023-12-08T11:18:05.90" personId="{649628CF-E63D-447D-80C5-8A54CB5C58EE}" id="{BA1C43BB-08EA-419C-B0DD-95FD9D4F8113}">
    <text>M for Male; F for Female</text>
  </threadedComment>
  <threadedComment ref="D1" dT="2023-12-08T11:18:47.58" personId="{649628CF-E63D-447D-80C5-8A54CB5C58EE}" id="{EA63E12E-82D1-454D-A830-6B8906E7F305}">
    <text>Married and Unmarried</text>
  </threadedComment>
  <threadedComment ref="T1" dT="2023-12-08T11:24:22.58" personId="{649628CF-E63D-447D-80C5-8A54CB5C58EE}" id="{8BD1755E-928E-44A3-813A-C35F380680F6}">
    <text>Weight in Kilograms</text>
  </threadedComment>
  <threadedComment ref="U1" dT="2023-12-08T11:24:48.64" personId="{649628CF-E63D-447D-80C5-8A54CB5C58EE}" id="{7E804EA7-E43B-4952-BD8B-7B99FFC4323B}">
    <text>Height in CM</text>
  </threadedComment>
  <threadedComment ref="W1" dT="2023-12-08T11:36:17.12" personId="{649628CF-E63D-447D-80C5-8A54CB5C58EE}" id="{E50E52F5-A8D7-424D-9F85-4DD0018816FE}">
    <text>Respiratory Rate</text>
  </threadedComment>
  <threadedComment ref="Y1" dT="2023-12-08T12:04:59.17" personId="{649628CF-E63D-447D-80C5-8A54CB5C58EE}" id="{B29C2D8D-2CE3-46F2-8C8B-8865B3B4EFF2}">
    <text>Diabetes Type 1</text>
  </threadedComment>
  <threadedComment ref="Z1" dT="2023-12-08T12:05:34.58" personId="{649628CF-E63D-447D-80C5-8A54CB5C58EE}" id="{4E31F27C-F3AC-4366-AE1F-084E22925EC9}">
    <text>Diabetes Type II</text>
  </threadedComment>
  <threadedComment ref="AA1" dT="2023-12-08T12:06:04.68" personId="{649628CF-E63D-447D-80C5-8A54CB5C58EE}" id="{27F05F4C-0726-45F2-A5AB-179615ED2D6B}">
    <text>Only hypertension</text>
  </threadedComment>
  <threadedComment ref="AB1" dT="2023-12-08T12:06:53.61" personId="{649628CF-E63D-447D-80C5-8A54CB5C58EE}" id="{3AB166D0-6BA5-4C4C-AFDD-B16BA338EF76}">
    <text>Hypertension and Diabetes</text>
  </threadedComment>
  <threadedComment ref="AC1" dT="2023-12-08T12:07:26.83" personId="{649628CF-E63D-447D-80C5-8A54CB5C58EE}" id="{E6A8A8F9-B491-4BAB-B3B1-E5C28CAC9232}">
    <text>Hypertension, Anxiety, Depression &amp; Chest Pain)</text>
  </threadedComment>
  <threadedComment ref="AF1" dT="2023-12-08T12:08:44.67" personId="{649628CF-E63D-447D-80C5-8A54CB5C58EE}" id="{C617A733-4439-444F-B50F-B7DBDB9C8958}">
    <text>Haemoglobin count</text>
  </threadedComment>
  <threadedComment ref="AN1" dT="2023-12-08T12:09:26.68" personId="{649628CF-E63D-447D-80C5-8A54CB5C58EE}" id="{5742A693-A439-41A5-962A-FDD3B8919A3B}">
    <text>Outcome Variable</text>
  </threadedComment>
  <threadedComment ref="AO1" dT="2023-12-08T12:10:26.91" personId="{649628CF-E63D-447D-80C5-8A54CB5C58EE}" id="{44C53F13-4AF0-4F3B-9579-77147E1F7A10}">
    <text xml:space="preserve">Number of days the patient stayed in the hospital </text>
  </threadedComment>
  <threadedComment ref="AP1" dT="2023-12-08T12:10:44.01" personId="{649628CF-E63D-447D-80C5-8A54CB5C58EE}" id="{559565A8-BEAB-48D7-9559-607B092BF3EA}">
    <text>Number of days the patient stayed in ICU</text>
  </threadedComment>
  <threadedComment ref="AQ1" dT="2023-12-08T12:11:04.89" personId="{649628CF-E63D-447D-80C5-8A54CB5C58EE}" id="{1CA843F5-5A0C-4AFF-8848-BC75E125B065}">
    <text>Number of days the patient stayed in the Ward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C16"/>
  <sheetViews>
    <sheetView workbookViewId="0">
      <selection activeCell="B8" sqref="B8"/>
    </sheetView>
  </sheetViews>
  <sheetFormatPr defaultRowHeight="14.4" x14ac:dyDescent="0.3"/>
  <cols>
    <col min="1" max="1" width="9.21875" customWidth="1"/>
    <col min="2" max="2" width="110.21875" customWidth="1"/>
  </cols>
  <sheetData>
    <row r="7" spans="2:3" ht="62.4" x14ac:dyDescent="0.3">
      <c r="B7" s="46" t="s">
        <v>112</v>
      </c>
    </row>
    <row r="16" spans="2:3" x14ac:dyDescent="0.3">
      <c r="B16" s="47"/>
      <c r="C16" s="4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Y249"/>
  <sheetViews>
    <sheetView tabSelected="1" zoomScale="72" zoomScaleNormal="72" workbookViewId="0">
      <selection activeCell="J28" sqref="J28"/>
    </sheetView>
  </sheetViews>
  <sheetFormatPr defaultColWidth="12.77734375" defaultRowHeight="14.4" x14ac:dyDescent="0.3"/>
  <sheetData>
    <row r="1" spans="1:25" ht="58.2" thickBot="1" x14ac:dyDescent="0.35">
      <c r="A1" s="43" t="s">
        <v>0</v>
      </c>
      <c r="B1" s="44" t="s">
        <v>1</v>
      </c>
      <c r="C1" s="44" t="s">
        <v>2</v>
      </c>
      <c r="D1" s="44" t="s">
        <v>3</v>
      </c>
      <c r="E1" s="44" t="s">
        <v>90</v>
      </c>
      <c r="F1" s="44" t="s">
        <v>4</v>
      </c>
      <c r="G1" s="44" t="s">
        <v>5</v>
      </c>
      <c r="H1" s="44" t="s">
        <v>109</v>
      </c>
      <c r="I1" s="44" t="s">
        <v>6</v>
      </c>
      <c r="J1" s="44" t="s">
        <v>91</v>
      </c>
      <c r="K1" s="44" t="s">
        <v>92</v>
      </c>
      <c r="L1" s="44" t="s">
        <v>7</v>
      </c>
      <c r="M1" s="44" t="s">
        <v>93</v>
      </c>
      <c r="N1" s="44" t="s">
        <v>8</v>
      </c>
      <c r="O1" s="44" t="s">
        <v>9</v>
      </c>
      <c r="P1" s="44" t="s">
        <v>10</v>
      </c>
      <c r="Q1" s="44" t="s">
        <v>11</v>
      </c>
      <c r="R1" s="44" t="s">
        <v>12</v>
      </c>
      <c r="S1" s="44" t="s">
        <v>13</v>
      </c>
      <c r="T1" s="44" t="s">
        <v>94</v>
      </c>
      <c r="U1" s="44" t="s">
        <v>95</v>
      </c>
      <c r="V1" s="44" t="s">
        <v>96</v>
      </c>
      <c r="W1" s="44" t="s">
        <v>97</v>
      </c>
      <c r="X1" s="44" t="s">
        <v>98</v>
      </c>
      <c r="Y1" s="45" t="s">
        <v>100</v>
      </c>
    </row>
    <row r="2" spans="1:25" x14ac:dyDescent="0.3">
      <c r="A2" s="37">
        <v>1</v>
      </c>
      <c r="B2" s="35">
        <v>58</v>
      </c>
      <c r="C2" s="35" t="s">
        <v>14</v>
      </c>
      <c r="D2" s="35" t="s">
        <v>15</v>
      </c>
      <c r="E2" s="35" t="s">
        <v>16</v>
      </c>
      <c r="F2" s="38">
        <v>49.2</v>
      </c>
      <c r="G2" s="35">
        <v>160</v>
      </c>
      <c r="H2" s="35">
        <f>F2/G2</f>
        <v>0.3075</v>
      </c>
      <c r="I2" s="39">
        <v>118</v>
      </c>
      <c r="J2" s="40">
        <v>100</v>
      </c>
      <c r="K2" s="39">
        <v>80</v>
      </c>
      <c r="L2" s="39">
        <v>32</v>
      </c>
      <c r="M2" s="35"/>
      <c r="N2" s="49">
        <v>11.4</v>
      </c>
      <c r="O2" s="35">
        <v>33</v>
      </c>
      <c r="P2" s="35">
        <v>0.8</v>
      </c>
      <c r="Q2" s="35" t="s">
        <v>18</v>
      </c>
      <c r="R2" s="35" t="s">
        <v>19</v>
      </c>
      <c r="S2" s="35" t="s">
        <v>20</v>
      </c>
      <c r="T2" s="52">
        <v>660293</v>
      </c>
      <c r="U2" s="52">
        <v>25</v>
      </c>
      <c r="V2" s="52">
        <v>12</v>
      </c>
      <c r="W2" s="52">
        <v>13</v>
      </c>
      <c r="X2" s="52" t="s">
        <v>47</v>
      </c>
      <c r="Y2" s="53">
        <v>38000</v>
      </c>
    </row>
    <row r="3" spans="1:25" x14ac:dyDescent="0.3">
      <c r="A3" s="13">
        <v>2</v>
      </c>
      <c r="B3" s="1">
        <v>59</v>
      </c>
      <c r="C3" s="1" t="s">
        <v>14</v>
      </c>
      <c r="D3" s="1" t="s">
        <v>15</v>
      </c>
      <c r="E3" s="1" t="s">
        <v>21</v>
      </c>
      <c r="F3" s="3">
        <v>41</v>
      </c>
      <c r="G3" s="1">
        <v>155</v>
      </c>
      <c r="H3" s="35">
        <f t="shared" ref="H3:H66" si="0">F3/G3</f>
        <v>0.26451612903225807</v>
      </c>
      <c r="I3" s="4">
        <v>78</v>
      </c>
      <c r="J3" s="5">
        <v>70</v>
      </c>
      <c r="K3" s="5">
        <v>50</v>
      </c>
      <c r="L3" s="4">
        <v>28</v>
      </c>
      <c r="M3" s="1"/>
      <c r="N3" s="6">
        <v>11.4</v>
      </c>
      <c r="O3" s="1">
        <v>95</v>
      </c>
      <c r="P3" s="1">
        <v>1.7</v>
      </c>
      <c r="Q3" s="1" t="s">
        <v>18</v>
      </c>
      <c r="R3" s="1" t="s">
        <v>19</v>
      </c>
      <c r="S3" s="1" t="s">
        <v>20</v>
      </c>
      <c r="T3" s="54">
        <v>809130</v>
      </c>
      <c r="U3" s="54">
        <v>41</v>
      </c>
      <c r="V3" s="54">
        <v>20</v>
      </c>
      <c r="W3" s="54">
        <v>21</v>
      </c>
      <c r="X3" s="54" t="s">
        <v>47</v>
      </c>
      <c r="Y3" s="55">
        <v>39690</v>
      </c>
    </row>
    <row r="4" spans="1:25" x14ac:dyDescent="0.3">
      <c r="A4" s="13">
        <v>3</v>
      </c>
      <c r="B4" s="1">
        <v>82</v>
      </c>
      <c r="C4" s="1" t="s">
        <v>14</v>
      </c>
      <c r="D4" s="1" t="s">
        <v>15</v>
      </c>
      <c r="E4" s="1" t="s">
        <v>22</v>
      </c>
      <c r="F4" s="3">
        <v>46.6</v>
      </c>
      <c r="G4" s="1">
        <v>164</v>
      </c>
      <c r="H4" s="35">
        <f t="shared" si="0"/>
        <v>0.28414634146341466</v>
      </c>
      <c r="I4" s="4">
        <v>100</v>
      </c>
      <c r="J4" s="5">
        <v>110</v>
      </c>
      <c r="K4" s="5">
        <v>80</v>
      </c>
      <c r="L4" s="4">
        <v>20</v>
      </c>
      <c r="M4" s="1" t="s">
        <v>23</v>
      </c>
      <c r="N4" s="6">
        <v>11.8</v>
      </c>
      <c r="O4" s="1">
        <v>15</v>
      </c>
      <c r="P4" s="1">
        <v>0.8</v>
      </c>
      <c r="Q4" s="1" t="s">
        <v>24</v>
      </c>
      <c r="R4" s="1" t="s">
        <v>19</v>
      </c>
      <c r="S4" s="1" t="s">
        <v>25</v>
      </c>
      <c r="T4" s="54">
        <v>362231</v>
      </c>
      <c r="U4" s="54">
        <v>18</v>
      </c>
      <c r="V4" s="54">
        <v>9</v>
      </c>
      <c r="W4" s="54">
        <v>9</v>
      </c>
      <c r="X4" s="54" t="s">
        <v>48</v>
      </c>
      <c r="Y4" s="55">
        <v>0</v>
      </c>
    </row>
    <row r="5" spans="1:25" x14ac:dyDescent="0.3">
      <c r="A5" s="13">
        <v>4</v>
      </c>
      <c r="B5" s="1">
        <v>46</v>
      </c>
      <c r="C5" s="1" t="s">
        <v>14</v>
      </c>
      <c r="D5" s="1" t="s">
        <v>15</v>
      </c>
      <c r="E5" s="1" t="s">
        <v>21</v>
      </c>
      <c r="F5" s="3">
        <v>80</v>
      </c>
      <c r="G5" s="1">
        <v>173</v>
      </c>
      <c r="H5" s="35">
        <f t="shared" si="0"/>
        <v>0.46242774566473988</v>
      </c>
      <c r="I5" s="4">
        <v>122</v>
      </c>
      <c r="J5" s="5">
        <v>110</v>
      </c>
      <c r="K5" s="5">
        <v>80</v>
      </c>
      <c r="L5" s="4">
        <v>24</v>
      </c>
      <c r="M5" s="1" t="s">
        <v>26</v>
      </c>
      <c r="N5" s="6">
        <v>11.8</v>
      </c>
      <c r="O5" s="1">
        <v>74</v>
      </c>
      <c r="P5" s="1">
        <v>1.5</v>
      </c>
      <c r="Q5" s="1" t="s">
        <v>18</v>
      </c>
      <c r="R5" s="1" t="s">
        <v>19</v>
      </c>
      <c r="S5" s="1" t="s">
        <v>20</v>
      </c>
      <c r="T5" s="54">
        <v>629990</v>
      </c>
      <c r="U5" s="54">
        <v>14</v>
      </c>
      <c r="V5" s="54">
        <v>13</v>
      </c>
      <c r="W5" s="54">
        <v>1</v>
      </c>
      <c r="X5" s="54" t="s">
        <v>47</v>
      </c>
      <c r="Y5" s="55">
        <v>89450</v>
      </c>
    </row>
    <row r="6" spans="1:25" x14ac:dyDescent="0.3">
      <c r="A6" s="13">
        <v>5</v>
      </c>
      <c r="B6" s="1">
        <v>60</v>
      </c>
      <c r="C6" s="1" t="s">
        <v>14</v>
      </c>
      <c r="D6" s="1" t="s">
        <v>15</v>
      </c>
      <c r="E6" s="1" t="s">
        <v>21</v>
      </c>
      <c r="F6" s="3">
        <v>58</v>
      </c>
      <c r="G6" s="1">
        <v>175</v>
      </c>
      <c r="H6" s="35">
        <f t="shared" si="0"/>
        <v>0.33142857142857141</v>
      </c>
      <c r="I6" s="4">
        <v>72</v>
      </c>
      <c r="J6" s="5">
        <v>180</v>
      </c>
      <c r="K6" s="5">
        <v>100</v>
      </c>
      <c r="L6" s="4">
        <v>18</v>
      </c>
      <c r="M6" s="1" t="s">
        <v>23</v>
      </c>
      <c r="N6" s="6">
        <v>10</v>
      </c>
      <c r="O6" s="1">
        <v>48</v>
      </c>
      <c r="P6" s="1">
        <v>1.9</v>
      </c>
      <c r="Q6" s="1" t="s">
        <v>18</v>
      </c>
      <c r="R6" s="1" t="s">
        <v>19</v>
      </c>
      <c r="S6" s="1" t="s">
        <v>20</v>
      </c>
      <c r="T6" s="54">
        <v>444876</v>
      </c>
      <c r="U6" s="54">
        <v>24</v>
      </c>
      <c r="V6" s="54">
        <v>12</v>
      </c>
      <c r="W6" s="54">
        <v>12</v>
      </c>
      <c r="X6" s="54" t="s">
        <v>48</v>
      </c>
      <c r="Y6" s="55">
        <v>0</v>
      </c>
    </row>
    <row r="7" spans="1:25" x14ac:dyDescent="0.3">
      <c r="A7" s="13">
        <v>6</v>
      </c>
      <c r="B7" s="1">
        <v>75</v>
      </c>
      <c r="C7" s="1" t="s">
        <v>14</v>
      </c>
      <c r="D7" s="1" t="s">
        <v>15</v>
      </c>
      <c r="E7" s="1" t="s">
        <v>21</v>
      </c>
      <c r="F7" s="3">
        <v>45</v>
      </c>
      <c r="G7" s="1">
        <v>140</v>
      </c>
      <c r="H7" s="35">
        <f t="shared" si="0"/>
        <v>0.32142857142857145</v>
      </c>
      <c r="I7" s="4">
        <v>130</v>
      </c>
      <c r="J7" s="5">
        <v>215</v>
      </c>
      <c r="K7" s="5">
        <v>140</v>
      </c>
      <c r="L7" s="4">
        <v>42</v>
      </c>
      <c r="M7" s="1"/>
      <c r="N7" s="6">
        <v>11.8</v>
      </c>
      <c r="O7" s="1">
        <v>29</v>
      </c>
      <c r="P7" s="1">
        <v>1</v>
      </c>
      <c r="Q7" s="1" t="s">
        <v>18</v>
      </c>
      <c r="R7" s="1" t="s">
        <v>19</v>
      </c>
      <c r="S7" s="1" t="s">
        <v>20</v>
      </c>
      <c r="T7" s="54">
        <v>372357</v>
      </c>
      <c r="U7" s="54">
        <v>31</v>
      </c>
      <c r="V7" s="54">
        <v>9</v>
      </c>
      <c r="W7" s="54">
        <v>22</v>
      </c>
      <c r="X7" s="54" t="s">
        <v>48</v>
      </c>
      <c r="Y7" s="55">
        <v>0</v>
      </c>
    </row>
    <row r="8" spans="1:25" x14ac:dyDescent="0.3">
      <c r="A8" s="13">
        <v>7</v>
      </c>
      <c r="B8" s="1">
        <v>73</v>
      </c>
      <c r="C8" s="1" t="s">
        <v>14</v>
      </c>
      <c r="D8" s="1" t="s">
        <v>15</v>
      </c>
      <c r="E8" s="1" t="s">
        <v>22</v>
      </c>
      <c r="F8" s="3">
        <v>60</v>
      </c>
      <c r="G8" s="1">
        <v>170</v>
      </c>
      <c r="H8" s="35">
        <f t="shared" si="0"/>
        <v>0.35294117647058826</v>
      </c>
      <c r="I8" s="4">
        <v>108</v>
      </c>
      <c r="J8" s="5">
        <v>160</v>
      </c>
      <c r="K8" s="5">
        <v>90</v>
      </c>
      <c r="L8" s="4">
        <v>24</v>
      </c>
      <c r="M8" s="1" t="s">
        <v>23</v>
      </c>
      <c r="N8" s="6">
        <v>14.5</v>
      </c>
      <c r="O8" s="1">
        <v>31</v>
      </c>
      <c r="P8" s="1">
        <v>1.6</v>
      </c>
      <c r="Q8" s="1" t="s">
        <v>24</v>
      </c>
      <c r="R8" s="1" t="s">
        <v>19</v>
      </c>
      <c r="S8" s="1" t="s">
        <v>25</v>
      </c>
      <c r="T8" s="54">
        <v>887350</v>
      </c>
      <c r="U8" s="54">
        <v>15</v>
      </c>
      <c r="V8" s="54">
        <v>15</v>
      </c>
      <c r="W8" s="54">
        <v>0</v>
      </c>
      <c r="X8" s="54" t="s">
        <v>48</v>
      </c>
      <c r="Y8" s="55">
        <v>0</v>
      </c>
    </row>
    <row r="9" spans="1:25" x14ac:dyDescent="0.3">
      <c r="A9" s="13">
        <v>8</v>
      </c>
      <c r="B9" s="1">
        <v>71</v>
      </c>
      <c r="C9" s="1" t="s">
        <v>14</v>
      </c>
      <c r="D9" s="1" t="s">
        <v>15</v>
      </c>
      <c r="E9" s="1" t="s">
        <v>22</v>
      </c>
      <c r="F9" s="3">
        <v>43.8</v>
      </c>
      <c r="G9" s="1">
        <v>164</v>
      </c>
      <c r="H9" s="35">
        <f t="shared" si="0"/>
        <v>0.26707317073170728</v>
      </c>
      <c r="I9" s="4">
        <v>60</v>
      </c>
      <c r="J9" s="5">
        <v>130</v>
      </c>
      <c r="K9" s="5">
        <v>90</v>
      </c>
      <c r="L9" s="4">
        <v>22</v>
      </c>
      <c r="M9" s="1"/>
      <c r="N9" s="6">
        <v>10.1</v>
      </c>
      <c r="O9" s="1">
        <v>37</v>
      </c>
      <c r="P9" s="1">
        <v>1.5</v>
      </c>
      <c r="Q9" s="1" t="s">
        <v>24</v>
      </c>
      <c r="R9" s="1" t="s">
        <v>19</v>
      </c>
      <c r="S9" s="1" t="s">
        <v>20</v>
      </c>
      <c r="T9" s="54">
        <v>389827</v>
      </c>
      <c r="U9" s="54">
        <v>24</v>
      </c>
      <c r="V9" s="54">
        <v>11</v>
      </c>
      <c r="W9" s="54">
        <v>13</v>
      </c>
      <c r="X9" s="54" t="s">
        <v>48</v>
      </c>
      <c r="Y9" s="55">
        <v>0</v>
      </c>
    </row>
    <row r="10" spans="1:25" x14ac:dyDescent="0.3">
      <c r="A10" s="13">
        <v>9</v>
      </c>
      <c r="B10" s="1">
        <v>72</v>
      </c>
      <c r="C10" s="1" t="s">
        <v>14</v>
      </c>
      <c r="D10" s="1" t="s">
        <v>15</v>
      </c>
      <c r="E10" s="1" t="s">
        <v>21</v>
      </c>
      <c r="F10" s="3">
        <v>72</v>
      </c>
      <c r="G10" s="1">
        <v>174</v>
      </c>
      <c r="H10" s="35">
        <f t="shared" si="0"/>
        <v>0.41379310344827586</v>
      </c>
      <c r="I10" s="4">
        <v>95</v>
      </c>
      <c r="J10" s="5">
        <v>100</v>
      </c>
      <c r="K10" s="5">
        <v>50</v>
      </c>
      <c r="L10" s="4">
        <v>25</v>
      </c>
      <c r="M10" s="1" t="s">
        <v>23</v>
      </c>
      <c r="N10" s="6">
        <v>9.6</v>
      </c>
      <c r="O10" s="1">
        <v>32</v>
      </c>
      <c r="P10" s="1">
        <v>1.2</v>
      </c>
      <c r="Q10" s="1" t="s">
        <v>18</v>
      </c>
      <c r="R10" s="1" t="s">
        <v>19</v>
      </c>
      <c r="S10" s="1" t="s">
        <v>20</v>
      </c>
      <c r="T10" s="54">
        <v>437529.07</v>
      </c>
      <c r="U10" s="54">
        <v>26</v>
      </c>
      <c r="V10" s="54">
        <v>9</v>
      </c>
      <c r="W10" s="54">
        <v>17</v>
      </c>
      <c r="X10" s="54" t="s">
        <v>48</v>
      </c>
      <c r="Y10" s="55">
        <v>0</v>
      </c>
    </row>
    <row r="11" spans="1:25" x14ac:dyDescent="0.3">
      <c r="A11" s="13">
        <v>10</v>
      </c>
      <c r="B11" s="1">
        <v>61</v>
      </c>
      <c r="C11" s="1" t="s">
        <v>14</v>
      </c>
      <c r="D11" s="1" t="s">
        <v>15</v>
      </c>
      <c r="E11" s="1" t="s">
        <v>22</v>
      </c>
      <c r="F11" s="3">
        <v>76.599999999999994</v>
      </c>
      <c r="G11" s="1">
        <v>175</v>
      </c>
      <c r="H11" s="35">
        <f t="shared" si="0"/>
        <v>0.43771428571428567</v>
      </c>
      <c r="I11" s="4">
        <v>66</v>
      </c>
      <c r="J11" s="5">
        <v>140</v>
      </c>
      <c r="K11" s="5">
        <v>90</v>
      </c>
      <c r="L11" s="4">
        <v>22</v>
      </c>
      <c r="M11" s="1"/>
      <c r="N11" s="6">
        <v>14</v>
      </c>
      <c r="O11" s="1">
        <v>15</v>
      </c>
      <c r="P11" s="1">
        <v>0.4</v>
      </c>
      <c r="Q11" s="1" t="s">
        <v>24</v>
      </c>
      <c r="R11" s="1" t="s">
        <v>19</v>
      </c>
      <c r="S11" s="1" t="s">
        <v>25</v>
      </c>
      <c r="T11" s="54">
        <v>364222</v>
      </c>
      <c r="U11" s="54">
        <v>20</v>
      </c>
      <c r="V11" s="54">
        <v>4</v>
      </c>
      <c r="W11" s="54">
        <v>16</v>
      </c>
      <c r="X11" s="54" t="s">
        <v>48</v>
      </c>
      <c r="Y11" s="55">
        <v>0</v>
      </c>
    </row>
    <row r="12" spans="1:25" x14ac:dyDescent="0.3">
      <c r="A12" s="13">
        <v>11</v>
      </c>
      <c r="B12" s="1">
        <v>61</v>
      </c>
      <c r="C12" s="1" t="s">
        <v>14</v>
      </c>
      <c r="D12" s="1" t="s">
        <v>15</v>
      </c>
      <c r="E12" s="1" t="s">
        <v>21</v>
      </c>
      <c r="F12" s="3">
        <v>64</v>
      </c>
      <c r="G12" s="1">
        <v>170</v>
      </c>
      <c r="H12" s="35">
        <f t="shared" si="0"/>
        <v>0.37647058823529411</v>
      </c>
      <c r="I12" s="4">
        <v>99</v>
      </c>
      <c r="J12" s="5">
        <v>140</v>
      </c>
      <c r="K12" s="5">
        <v>80</v>
      </c>
      <c r="L12" s="4">
        <v>24</v>
      </c>
      <c r="M12" s="1" t="s">
        <v>26</v>
      </c>
      <c r="N12" s="6">
        <v>13</v>
      </c>
      <c r="O12" s="1">
        <v>15</v>
      </c>
      <c r="P12" s="1">
        <v>1</v>
      </c>
      <c r="Q12" s="1" t="s">
        <v>24</v>
      </c>
      <c r="R12" s="1" t="s">
        <v>19</v>
      </c>
      <c r="S12" s="1" t="s">
        <v>25</v>
      </c>
      <c r="T12" s="54">
        <v>514524</v>
      </c>
      <c r="U12" s="54">
        <v>21</v>
      </c>
      <c r="V12" s="54">
        <v>10</v>
      </c>
      <c r="W12" s="54">
        <v>11</v>
      </c>
      <c r="X12" s="54" t="s">
        <v>47</v>
      </c>
      <c r="Y12" s="55">
        <v>39690</v>
      </c>
    </row>
    <row r="13" spans="1:25" x14ac:dyDescent="0.3">
      <c r="A13" s="13">
        <v>12</v>
      </c>
      <c r="B13" s="1">
        <v>45</v>
      </c>
      <c r="C13" s="1" t="s">
        <v>27</v>
      </c>
      <c r="D13" s="1" t="s">
        <v>15</v>
      </c>
      <c r="E13" s="1" t="s">
        <v>16</v>
      </c>
      <c r="F13" s="3">
        <v>50</v>
      </c>
      <c r="G13" s="1">
        <v>151</v>
      </c>
      <c r="H13" s="35">
        <f t="shared" si="0"/>
        <v>0.33112582781456956</v>
      </c>
      <c r="I13" s="4">
        <v>60</v>
      </c>
      <c r="J13" s="5">
        <v>110</v>
      </c>
      <c r="K13" s="5">
        <v>60</v>
      </c>
      <c r="L13" s="4">
        <v>19</v>
      </c>
      <c r="M13" s="1"/>
      <c r="N13" s="6">
        <v>12.7</v>
      </c>
      <c r="O13" s="1">
        <v>30</v>
      </c>
      <c r="P13" s="1">
        <v>0.9</v>
      </c>
      <c r="Q13" s="1" t="s">
        <v>24</v>
      </c>
      <c r="R13" s="1" t="s">
        <v>19</v>
      </c>
      <c r="S13" s="1" t="s">
        <v>25</v>
      </c>
      <c r="T13" s="54">
        <v>539976</v>
      </c>
      <c r="U13" s="54">
        <v>27</v>
      </c>
      <c r="V13" s="54">
        <v>22</v>
      </c>
      <c r="W13" s="54">
        <v>5</v>
      </c>
      <c r="X13" s="54" t="s">
        <v>47</v>
      </c>
      <c r="Y13" s="55">
        <v>20900</v>
      </c>
    </row>
    <row r="14" spans="1:25" x14ac:dyDescent="0.3">
      <c r="A14" s="13">
        <v>13</v>
      </c>
      <c r="B14" s="1">
        <v>40</v>
      </c>
      <c r="C14" s="1" t="s">
        <v>14</v>
      </c>
      <c r="D14" s="1" t="s">
        <v>15</v>
      </c>
      <c r="E14" s="1" t="s">
        <v>28</v>
      </c>
      <c r="F14" s="3">
        <v>71.400000000000006</v>
      </c>
      <c r="G14" s="1">
        <v>165</v>
      </c>
      <c r="H14" s="35">
        <f t="shared" si="0"/>
        <v>0.43272727272727274</v>
      </c>
      <c r="I14" s="4">
        <v>100</v>
      </c>
      <c r="J14" s="5">
        <v>110</v>
      </c>
      <c r="K14" s="5">
        <v>70</v>
      </c>
      <c r="L14" s="4">
        <v>22</v>
      </c>
      <c r="M14" s="1"/>
      <c r="N14" s="6">
        <v>13.2</v>
      </c>
      <c r="O14" s="1">
        <v>32</v>
      </c>
      <c r="P14" s="1">
        <v>0.9</v>
      </c>
      <c r="Q14" s="1" t="s">
        <v>24</v>
      </c>
      <c r="R14" s="1" t="s">
        <v>19</v>
      </c>
      <c r="S14" s="1" t="s">
        <v>25</v>
      </c>
      <c r="T14" s="54">
        <v>711616</v>
      </c>
      <c r="U14" s="54">
        <v>17</v>
      </c>
      <c r="V14" s="54">
        <v>10</v>
      </c>
      <c r="W14" s="54">
        <v>7</v>
      </c>
      <c r="X14" s="54" t="s">
        <v>47</v>
      </c>
      <c r="Y14" s="55">
        <v>196848</v>
      </c>
    </row>
    <row r="15" spans="1:25" x14ac:dyDescent="0.3">
      <c r="A15" s="13">
        <v>14</v>
      </c>
      <c r="B15" s="1">
        <v>64</v>
      </c>
      <c r="C15" s="1" t="s">
        <v>14</v>
      </c>
      <c r="D15" s="1" t="s">
        <v>15</v>
      </c>
      <c r="E15" s="1"/>
      <c r="F15" s="3">
        <v>56</v>
      </c>
      <c r="G15" s="1">
        <v>168</v>
      </c>
      <c r="H15" s="35">
        <f t="shared" si="0"/>
        <v>0.33333333333333331</v>
      </c>
      <c r="I15" s="4">
        <v>105</v>
      </c>
      <c r="J15" s="5">
        <v>130</v>
      </c>
      <c r="K15" s="5">
        <v>80</v>
      </c>
      <c r="L15" s="4">
        <v>22</v>
      </c>
      <c r="M15" s="1"/>
      <c r="N15" s="6">
        <v>14</v>
      </c>
      <c r="O15" s="1">
        <v>2</v>
      </c>
      <c r="P15" s="1">
        <v>1</v>
      </c>
      <c r="Q15" s="1" t="s">
        <v>24</v>
      </c>
      <c r="R15" s="1" t="s">
        <v>19</v>
      </c>
      <c r="S15" s="1" t="s">
        <v>25</v>
      </c>
      <c r="T15" s="54">
        <v>420040</v>
      </c>
      <c r="U15" s="54">
        <v>21</v>
      </c>
      <c r="V15" s="54">
        <v>10</v>
      </c>
      <c r="W15" s="54">
        <v>11</v>
      </c>
      <c r="X15" s="54" t="s">
        <v>48</v>
      </c>
      <c r="Y15" s="55">
        <v>0</v>
      </c>
    </row>
    <row r="16" spans="1:25" x14ac:dyDescent="0.3">
      <c r="A16" s="13">
        <v>15</v>
      </c>
      <c r="B16" s="1">
        <v>68</v>
      </c>
      <c r="C16" s="1" t="s">
        <v>27</v>
      </c>
      <c r="D16" s="1" t="s">
        <v>29</v>
      </c>
      <c r="E16" s="1" t="s">
        <v>21</v>
      </c>
      <c r="F16" s="3">
        <v>51</v>
      </c>
      <c r="G16" s="1">
        <v>123</v>
      </c>
      <c r="H16" s="35">
        <f t="shared" si="0"/>
        <v>0.41463414634146339</v>
      </c>
      <c r="I16" s="4">
        <v>66</v>
      </c>
      <c r="J16" s="5">
        <v>120</v>
      </c>
      <c r="K16" s="5">
        <v>80</v>
      </c>
      <c r="L16" s="4">
        <v>20</v>
      </c>
      <c r="M16" s="1" t="s">
        <v>30</v>
      </c>
      <c r="N16" s="6">
        <v>12.5</v>
      </c>
      <c r="O16" s="1">
        <v>21</v>
      </c>
      <c r="P16" s="1">
        <v>0.7</v>
      </c>
      <c r="Q16" s="1" t="s">
        <v>18</v>
      </c>
      <c r="R16" s="1" t="s">
        <v>19</v>
      </c>
      <c r="S16" s="1" t="s">
        <v>20</v>
      </c>
      <c r="T16" s="54">
        <v>495968.7</v>
      </c>
      <c r="U16" s="54">
        <v>16</v>
      </c>
      <c r="V16" s="54">
        <v>16</v>
      </c>
      <c r="W16" s="54">
        <v>0</v>
      </c>
      <c r="X16" s="54" t="s">
        <v>48</v>
      </c>
      <c r="Y16" s="55">
        <v>0</v>
      </c>
    </row>
    <row r="17" spans="1:25" x14ac:dyDescent="0.3">
      <c r="A17" s="13">
        <v>16</v>
      </c>
      <c r="B17" s="1">
        <v>78</v>
      </c>
      <c r="C17" s="1" t="s">
        <v>27</v>
      </c>
      <c r="D17" s="1" t="s">
        <v>15</v>
      </c>
      <c r="E17" s="1" t="s">
        <v>21</v>
      </c>
      <c r="F17" s="3">
        <v>70</v>
      </c>
      <c r="G17" s="1">
        <v>154</v>
      </c>
      <c r="H17" s="35">
        <f t="shared" si="0"/>
        <v>0.45454545454545453</v>
      </c>
      <c r="I17" s="4">
        <v>63</v>
      </c>
      <c r="J17" s="5">
        <v>150</v>
      </c>
      <c r="K17" s="5">
        <v>90</v>
      </c>
      <c r="L17" s="4">
        <v>20</v>
      </c>
      <c r="M17" s="1" t="s">
        <v>31</v>
      </c>
      <c r="N17" s="6">
        <v>10</v>
      </c>
      <c r="O17" s="1">
        <v>25</v>
      </c>
      <c r="P17" s="1">
        <v>1</v>
      </c>
      <c r="Q17" s="1" t="s">
        <v>24</v>
      </c>
      <c r="R17" s="1" t="s">
        <v>19</v>
      </c>
      <c r="S17" s="1" t="s">
        <v>25</v>
      </c>
      <c r="T17" s="54">
        <v>157763</v>
      </c>
      <c r="U17" s="54">
        <v>9</v>
      </c>
      <c r="V17" s="54">
        <v>4</v>
      </c>
      <c r="W17" s="54">
        <v>3</v>
      </c>
      <c r="X17" s="54" t="s">
        <v>48</v>
      </c>
      <c r="Y17" s="55">
        <v>0</v>
      </c>
    </row>
    <row r="18" spans="1:25" x14ac:dyDescent="0.3">
      <c r="A18" s="13">
        <v>17</v>
      </c>
      <c r="B18" s="1">
        <v>65</v>
      </c>
      <c r="C18" s="1" t="s">
        <v>14</v>
      </c>
      <c r="D18" s="1" t="s">
        <v>15</v>
      </c>
      <c r="E18" s="1" t="s">
        <v>21</v>
      </c>
      <c r="F18" s="3">
        <v>65</v>
      </c>
      <c r="G18" s="1">
        <v>140</v>
      </c>
      <c r="H18" s="35">
        <f t="shared" si="0"/>
        <v>0.4642857142857143</v>
      </c>
      <c r="I18" s="4">
        <v>93</v>
      </c>
      <c r="J18" s="5">
        <v>140</v>
      </c>
      <c r="K18" s="5">
        <v>80</v>
      </c>
      <c r="L18" s="4">
        <v>18</v>
      </c>
      <c r="M18" s="1" t="s">
        <v>32</v>
      </c>
      <c r="N18" s="6">
        <v>12.5</v>
      </c>
      <c r="O18" s="1">
        <v>15</v>
      </c>
      <c r="P18" s="1">
        <v>1</v>
      </c>
      <c r="Q18" s="1" t="s">
        <v>18</v>
      </c>
      <c r="R18" s="1" t="s">
        <v>19</v>
      </c>
      <c r="S18" s="1" t="s">
        <v>20</v>
      </c>
      <c r="T18" s="54">
        <v>501897</v>
      </c>
      <c r="U18" s="54">
        <v>18</v>
      </c>
      <c r="V18" s="54">
        <v>12</v>
      </c>
      <c r="W18" s="54">
        <v>6</v>
      </c>
      <c r="X18" s="54" t="s">
        <v>48</v>
      </c>
      <c r="Y18" s="55">
        <v>0</v>
      </c>
    </row>
    <row r="19" spans="1:25" x14ac:dyDescent="0.3">
      <c r="A19" s="13">
        <v>18</v>
      </c>
      <c r="B19" s="1">
        <v>59</v>
      </c>
      <c r="C19" s="1" t="s">
        <v>27</v>
      </c>
      <c r="D19" s="1" t="s">
        <v>15</v>
      </c>
      <c r="E19" s="1" t="s">
        <v>28</v>
      </c>
      <c r="F19" s="3">
        <v>47</v>
      </c>
      <c r="G19" s="1">
        <v>150</v>
      </c>
      <c r="H19" s="35">
        <f t="shared" si="0"/>
        <v>0.31333333333333335</v>
      </c>
      <c r="I19" s="4">
        <v>60</v>
      </c>
      <c r="J19" s="5">
        <v>130</v>
      </c>
      <c r="K19" s="5">
        <v>90</v>
      </c>
      <c r="L19" s="4">
        <v>24</v>
      </c>
      <c r="M19" s="1" t="s">
        <v>26</v>
      </c>
      <c r="N19" s="6">
        <v>12.3</v>
      </c>
      <c r="O19" s="1">
        <v>15</v>
      </c>
      <c r="P19" s="1">
        <v>0.7</v>
      </c>
      <c r="Q19" s="1" t="s">
        <v>24</v>
      </c>
      <c r="R19" s="1" t="s">
        <v>19</v>
      </c>
      <c r="S19" s="1" t="s">
        <v>25</v>
      </c>
      <c r="T19" s="54">
        <v>343984</v>
      </c>
      <c r="U19" s="54">
        <v>17</v>
      </c>
      <c r="V19" s="54">
        <v>5</v>
      </c>
      <c r="W19" s="54">
        <v>12</v>
      </c>
      <c r="X19" s="54" t="s">
        <v>47</v>
      </c>
      <c r="Y19" s="55">
        <v>20800</v>
      </c>
    </row>
    <row r="20" spans="1:25" x14ac:dyDescent="0.3">
      <c r="A20" s="13">
        <v>19</v>
      </c>
      <c r="B20" s="1">
        <v>76</v>
      </c>
      <c r="C20" s="1" t="s">
        <v>14</v>
      </c>
      <c r="D20" s="1" t="s">
        <v>15</v>
      </c>
      <c r="E20" s="1" t="s">
        <v>22</v>
      </c>
      <c r="F20" s="3">
        <v>67.2</v>
      </c>
      <c r="G20" s="1">
        <v>172</v>
      </c>
      <c r="H20" s="35">
        <f t="shared" si="0"/>
        <v>0.39069767441860465</v>
      </c>
      <c r="I20" s="4">
        <v>80</v>
      </c>
      <c r="J20" s="5">
        <v>130</v>
      </c>
      <c r="K20" s="5">
        <v>80</v>
      </c>
      <c r="L20" s="4">
        <v>20</v>
      </c>
      <c r="M20" s="1"/>
      <c r="N20" s="6">
        <v>14.7</v>
      </c>
      <c r="O20" s="1">
        <v>43</v>
      </c>
      <c r="P20" s="1">
        <v>0.9</v>
      </c>
      <c r="Q20" s="1" t="s">
        <v>24</v>
      </c>
      <c r="R20" s="1" t="s">
        <v>19</v>
      </c>
      <c r="S20" s="1" t="s">
        <v>25</v>
      </c>
      <c r="T20" s="54">
        <v>449395</v>
      </c>
      <c r="U20" s="54">
        <v>27</v>
      </c>
      <c r="V20" s="54">
        <v>13</v>
      </c>
      <c r="W20" s="54">
        <v>14</v>
      </c>
      <c r="X20" s="54" t="s">
        <v>48</v>
      </c>
      <c r="Y20" s="55">
        <v>0</v>
      </c>
    </row>
    <row r="21" spans="1:25" x14ac:dyDescent="0.3">
      <c r="A21" s="13">
        <v>20</v>
      </c>
      <c r="B21" s="1">
        <v>47</v>
      </c>
      <c r="C21" s="1" t="s">
        <v>14</v>
      </c>
      <c r="D21" s="1" t="s">
        <v>15</v>
      </c>
      <c r="E21" s="1" t="s">
        <v>21</v>
      </c>
      <c r="F21" s="3">
        <v>59</v>
      </c>
      <c r="G21" s="1">
        <v>160</v>
      </c>
      <c r="H21" s="35">
        <f t="shared" si="0"/>
        <v>0.36875000000000002</v>
      </c>
      <c r="I21" s="4">
        <v>80</v>
      </c>
      <c r="J21" s="5">
        <v>110</v>
      </c>
      <c r="K21" s="5">
        <v>80</v>
      </c>
      <c r="L21" s="4">
        <v>20</v>
      </c>
      <c r="M21" s="1"/>
      <c r="N21" s="6">
        <v>13.6</v>
      </c>
      <c r="O21" s="1">
        <v>15</v>
      </c>
      <c r="P21" s="1">
        <v>0.6</v>
      </c>
      <c r="Q21" s="1" t="s">
        <v>24</v>
      </c>
      <c r="R21" s="1" t="s">
        <v>19</v>
      </c>
      <c r="S21" s="1" t="s">
        <v>25</v>
      </c>
      <c r="T21" s="54">
        <v>214716</v>
      </c>
      <c r="U21" s="54">
        <v>10</v>
      </c>
      <c r="V21" s="54">
        <v>2</v>
      </c>
      <c r="W21" s="54">
        <v>8</v>
      </c>
      <c r="X21" s="54" t="s">
        <v>48</v>
      </c>
      <c r="Y21" s="55">
        <v>0</v>
      </c>
    </row>
    <row r="22" spans="1:25" x14ac:dyDescent="0.3">
      <c r="A22" s="13">
        <v>21</v>
      </c>
      <c r="B22" s="1">
        <v>54</v>
      </c>
      <c r="C22" s="1" t="s">
        <v>27</v>
      </c>
      <c r="D22" s="1" t="s">
        <v>15</v>
      </c>
      <c r="E22" s="1" t="s">
        <v>21</v>
      </c>
      <c r="F22" s="3">
        <v>51</v>
      </c>
      <c r="G22" s="1">
        <v>147</v>
      </c>
      <c r="H22" s="35">
        <f t="shared" si="0"/>
        <v>0.34693877551020408</v>
      </c>
      <c r="I22" s="4">
        <v>110</v>
      </c>
      <c r="J22" s="5">
        <v>100</v>
      </c>
      <c r="K22" s="5">
        <v>70</v>
      </c>
      <c r="L22" s="4">
        <v>26</v>
      </c>
      <c r="M22" s="1" t="s">
        <v>32</v>
      </c>
      <c r="N22" s="6">
        <v>11.4</v>
      </c>
      <c r="O22" s="1">
        <v>16</v>
      </c>
      <c r="P22" s="1">
        <v>0.5</v>
      </c>
      <c r="Q22" s="1" t="s">
        <v>24</v>
      </c>
      <c r="R22" s="1" t="s">
        <v>19</v>
      </c>
      <c r="S22" s="1" t="s">
        <v>25</v>
      </c>
      <c r="T22" s="54">
        <v>341109</v>
      </c>
      <c r="U22" s="54">
        <v>16</v>
      </c>
      <c r="V22" s="54">
        <v>10</v>
      </c>
      <c r="W22" s="54">
        <v>6</v>
      </c>
      <c r="X22" s="54" t="s">
        <v>48</v>
      </c>
      <c r="Y22" s="55">
        <v>0</v>
      </c>
    </row>
    <row r="23" spans="1:25" x14ac:dyDescent="0.3">
      <c r="A23" s="13">
        <v>22</v>
      </c>
      <c r="B23" s="1">
        <v>62</v>
      </c>
      <c r="C23" s="1" t="s">
        <v>14</v>
      </c>
      <c r="D23" s="1" t="s">
        <v>15</v>
      </c>
      <c r="E23" s="1" t="s">
        <v>22</v>
      </c>
      <c r="F23" s="3">
        <v>74</v>
      </c>
      <c r="G23" s="1">
        <v>160</v>
      </c>
      <c r="H23" s="35">
        <f t="shared" si="0"/>
        <v>0.46250000000000002</v>
      </c>
      <c r="I23" s="4">
        <v>60</v>
      </c>
      <c r="J23" s="5">
        <v>160</v>
      </c>
      <c r="K23" s="5">
        <v>70</v>
      </c>
      <c r="L23" s="4">
        <v>24</v>
      </c>
      <c r="M23" s="1" t="s">
        <v>23</v>
      </c>
      <c r="N23" s="6">
        <v>9.6999999999999993</v>
      </c>
      <c r="O23" s="1">
        <v>31</v>
      </c>
      <c r="P23" s="1">
        <v>1.1000000000000001</v>
      </c>
      <c r="Q23" s="1" t="s">
        <v>24</v>
      </c>
      <c r="R23" s="1" t="s">
        <v>19</v>
      </c>
      <c r="S23" s="1" t="s">
        <v>25</v>
      </c>
      <c r="T23" s="54">
        <v>288960</v>
      </c>
      <c r="U23" s="54">
        <v>9</v>
      </c>
      <c r="V23" s="54">
        <v>8</v>
      </c>
      <c r="W23" s="54">
        <v>1</v>
      </c>
      <c r="X23" s="54" t="s">
        <v>48</v>
      </c>
      <c r="Y23" s="55">
        <v>0</v>
      </c>
    </row>
    <row r="24" spans="1:25" x14ac:dyDescent="0.3">
      <c r="A24" s="13">
        <v>23</v>
      </c>
      <c r="B24" s="1">
        <v>60</v>
      </c>
      <c r="C24" s="1" t="s">
        <v>14</v>
      </c>
      <c r="D24" s="1" t="s">
        <v>15</v>
      </c>
      <c r="E24" s="1" t="s">
        <v>21</v>
      </c>
      <c r="F24" s="3">
        <v>72.5</v>
      </c>
      <c r="G24" s="1">
        <v>172</v>
      </c>
      <c r="H24" s="35">
        <f t="shared" si="0"/>
        <v>0.42151162790697677</v>
      </c>
      <c r="I24" s="4">
        <v>104</v>
      </c>
      <c r="J24" s="5">
        <v>120</v>
      </c>
      <c r="K24" s="5">
        <v>80</v>
      </c>
      <c r="L24" s="4">
        <v>24</v>
      </c>
      <c r="M24" s="1" t="s">
        <v>32</v>
      </c>
      <c r="N24" s="6">
        <v>14.8</v>
      </c>
      <c r="O24" s="1">
        <v>15</v>
      </c>
      <c r="P24" s="1">
        <v>1.1000000000000001</v>
      </c>
      <c r="Q24" s="1" t="s">
        <v>24</v>
      </c>
      <c r="R24" s="1" t="s">
        <v>19</v>
      </c>
      <c r="S24" s="1" t="s">
        <v>25</v>
      </c>
      <c r="T24" s="54">
        <v>348687</v>
      </c>
      <c r="U24" s="54">
        <v>13</v>
      </c>
      <c r="V24" s="54">
        <v>6</v>
      </c>
      <c r="W24" s="54">
        <v>7</v>
      </c>
      <c r="X24" s="54" t="s">
        <v>47</v>
      </c>
      <c r="Y24" s="55">
        <v>38000</v>
      </c>
    </row>
    <row r="25" spans="1:25" x14ac:dyDescent="0.3">
      <c r="A25" s="13">
        <v>24</v>
      </c>
      <c r="B25" s="1">
        <v>70</v>
      </c>
      <c r="C25" s="1" t="s">
        <v>14</v>
      </c>
      <c r="D25" s="1" t="s">
        <v>15</v>
      </c>
      <c r="E25" s="1" t="s">
        <v>21</v>
      </c>
      <c r="F25" s="3">
        <v>60</v>
      </c>
      <c r="G25" s="1">
        <v>158</v>
      </c>
      <c r="H25" s="35">
        <f t="shared" si="0"/>
        <v>0.379746835443038</v>
      </c>
      <c r="I25" s="4">
        <v>81</v>
      </c>
      <c r="J25" s="5">
        <v>90</v>
      </c>
      <c r="K25" s="5">
        <v>60</v>
      </c>
      <c r="L25" s="4">
        <v>18</v>
      </c>
      <c r="M25" s="1" t="s">
        <v>32</v>
      </c>
      <c r="N25" s="6">
        <v>11.4</v>
      </c>
      <c r="O25" s="1">
        <v>36</v>
      </c>
      <c r="P25" s="1">
        <v>1.8</v>
      </c>
      <c r="Q25" s="1" t="s">
        <v>18</v>
      </c>
      <c r="R25" s="1" t="s">
        <v>19</v>
      </c>
      <c r="S25" s="1" t="s">
        <v>20</v>
      </c>
      <c r="T25" s="54">
        <v>345590</v>
      </c>
      <c r="U25" s="54">
        <v>23</v>
      </c>
      <c r="V25" s="54">
        <v>9</v>
      </c>
      <c r="W25" s="54">
        <v>14</v>
      </c>
      <c r="X25" s="54" t="s">
        <v>48</v>
      </c>
      <c r="Y25" s="55">
        <v>0</v>
      </c>
    </row>
    <row r="26" spans="1:25" x14ac:dyDescent="0.3">
      <c r="A26" s="13">
        <v>25</v>
      </c>
      <c r="B26" s="1">
        <v>60</v>
      </c>
      <c r="C26" s="1" t="s">
        <v>27</v>
      </c>
      <c r="D26" s="1" t="s">
        <v>15</v>
      </c>
      <c r="E26" s="1" t="s">
        <v>22</v>
      </c>
      <c r="F26" s="3">
        <v>53</v>
      </c>
      <c r="G26" s="1">
        <v>155</v>
      </c>
      <c r="H26" s="35">
        <f t="shared" si="0"/>
        <v>0.34193548387096773</v>
      </c>
      <c r="I26" s="4">
        <v>85</v>
      </c>
      <c r="J26" s="5">
        <v>110</v>
      </c>
      <c r="K26" s="5">
        <v>70</v>
      </c>
      <c r="L26" s="4">
        <v>30</v>
      </c>
      <c r="M26" s="1" t="s">
        <v>23</v>
      </c>
      <c r="N26" s="6">
        <v>10.3</v>
      </c>
      <c r="O26" s="1">
        <v>36</v>
      </c>
      <c r="P26" s="1">
        <v>1.4</v>
      </c>
      <c r="Q26" s="1" t="s">
        <v>18</v>
      </c>
      <c r="R26" s="1" t="s">
        <v>19</v>
      </c>
      <c r="S26" s="1" t="s">
        <v>20</v>
      </c>
      <c r="T26" s="54">
        <v>361738</v>
      </c>
      <c r="U26" s="54">
        <v>11</v>
      </c>
      <c r="V26" s="54">
        <v>11</v>
      </c>
      <c r="W26" s="54">
        <v>0</v>
      </c>
      <c r="X26" s="54" t="s">
        <v>47</v>
      </c>
      <c r="Y26" s="55">
        <v>38000</v>
      </c>
    </row>
    <row r="27" spans="1:25" x14ac:dyDescent="0.3">
      <c r="A27" s="13">
        <v>26</v>
      </c>
      <c r="B27" s="1">
        <v>88</v>
      </c>
      <c r="C27" s="1" t="s">
        <v>14</v>
      </c>
      <c r="D27" s="1" t="s">
        <v>15</v>
      </c>
      <c r="E27" s="1" t="s">
        <v>22</v>
      </c>
      <c r="F27" s="3">
        <v>62.2</v>
      </c>
      <c r="G27" s="1">
        <v>162</v>
      </c>
      <c r="H27" s="35">
        <f t="shared" si="0"/>
        <v>0.38395061728395063</v>
      </c>
      <c r="I27" s="4">
        <v>92</v>
      </c>
      <c r="J27" s="5">
        <v>140</v>
      </c>
      <c r="K27" s="5">
        <v>100</v>
      </c>
      <c r="L27" s="4">
        <v>22</v>
      </c>
      <c r="M27" s="1" t="s">
        <v>26</v>
      </c>
      <c r="N27" s="6">
        <v>11.8</v>
      </c>
      <c r="O27" s="1">
        <v>52</v>
      </c>
      <c r="P27" s="1">
        <v>1.2</v>
      </c>
      <c r="Q27" s="1" t="s">
        <v>18</v>
      </c>
      <c r="R27" s="1" t="s">
        <v>19</v>
      </c>
      <c r="S27" s="1" t="s">
        <v>20</v>
      </c>
      <c r="T27" s="54">
        <v>305193</v>
      </c>
      <c r="U27" s="54">
        <v>16</v>
      </c>
      <c r="V27" s="54">
        <v>9</v>
      </c>
      <c r="W27" s="54">
        <v>7</v>
      </c>
      <c r="X27" s="54" t="s">
        <v>48</v>
      </c>
      <c r="Y27" s="55">
        <v>0</v>
      </c>
    </row>
    <row r="28" spans="1:25" x14ac:dyDescent="0.3">
      <c r="A28" s="13">
        <v>27</v>
      </c>
      <c r="B28" s="1">
        <v>15</v>
      </c>
      <c r="C28" s="1" t="s">
        <v>14</v>
      </c>
      <c r="D28" s="1" t="s">
        <v>29</v>
      </c>
      <c r="E28" s="1" t="s">
        <v>28</v>
      </c>
      <c r="F28" s="3">
        <v>43.6</v>
      </c>
      <c r="G28" s="1">
        <v>170</v>
      </c>
      <c r="H28" s="35">
        <f t="shared" si="0"/>
        <v>0.25647058823529412</v>
      </c>
      <c r="I28" s="4">
        <v>134</v>
      </c>
      <c r="J28" s="5">
        <v>110</v>
      </c>
      <c r="K28" s="5">
        <v>70</v>
      </c>
      <c r="L28" s="4">
        <v>40</v>
      </c>
      <c r="M28" s="1"/>
      <c r="N28" s="6">
        <v>9.9</v>
      </c>
      <c r="O28" s="1"/>
      <c r="P28" s="1"/>
      <c r="Q28" s="1" t="s">
        <v>18</v>
      </c>
      <c r="R28" s="1" t="s">
        <v>19</v>
      </c>
      <c r="S28" s="1" t="s">
        <v>20</v>
      </c>
      <c r="T28" s="54">
        <v>404644</v>
      </c>
      <c r="U28" s="54">
        <v>22</v>
      </c>
      <c r="V28" s="54">
        <v>10</v>
      </c>
      <c r="W28" s="54">
        <v>12</v>
      </c>
      <c r="X28" s="54" t="s">
        <v>47</v>
      </c>
      <c r="Y28" s="55">
        <v>41800</v>
      </c>
    </row>
    <row r="29" spans="1:25" x14ac:dyDescent="0.3">
      <c r="A29" s="13">
        <v>28</v>
      </c>
      <c r="B29" s="1">
        <v>47</v>
      </c>
      <c r="C29" s="1" t="s">
        <v>14</v>
      </c>
      <c r="D29" s="1" t="s">
        <v>15</v>
      </c>
      <c r="E29" s="1" t="s">
        <v>22</v>
      </c>
      <c r="F29" s="3">
        <v>73.099999999999994</v>
      </c>
      <c r="G29" s="1">
        <v>171</v>
      </c>
      <c r="H29" s="35">
        <f t="shared" si="0"/>
        <v>0.42748538011695902</v>
      </c>
      <c r="I29" s="4">
        <v>87</v>
      </c>
      <c r="J29" s="5">
        <v>100</v>
      </c>
      <c r="K29" s="5">
        <v>70</v>
      </c>
      <c r="L29" s="4">
        <v>22</v>
      </c>
      <c r="M29" s="1" t="s">
        <v>23</v>
      </c>
      <c r="N29" s="6">
        <v>14.6</v>
      </c>
      <c r="O29" s="1">
        <v>76</v>
      </c>
      <c r="P29" s="1">
        <v>2.2999999999999998</v>
      </c>
      <c r="Q29" s="1" t="s">
        <v>18</v>
      </c>
      <c r="R29" s="1" t="s">
        <v>19</v>
      </c>
      <c r="S29" s="1" t="s">
        <v>20</v>
      </c>
      <c r="T29" s="54">
        <v>278213.73</v>
      </c>
      <c r="U29" s="54">
        <v>15</v>
      </c>
      <c r="V29" s="54">
        <v>6</v>
      </c>
      <c r="W29" s="54">
        <v>10</v>
      </c>
      <c r="X29" s="54" t="s">
        <v>48</v>
      </c>
      <c r="Y29" s="55">
        <v>0</v>
      </c>
    </row>
    <row r="30" spans="1:25" x14ac:dyDescent="0.3">
      <c r="A30" s="13">
        <v>29</v>
      </c>
      <c r="B30" s="1">
        <v>70</v>
      </c>
      <c r="C30" s="1" t="s">
        <v>14</v>
      </c>
      <c r="D30" s="1" t="s">
        <v>15</v>
      </c>
      <c r="E30" s="1" t="s">
        <v>21</v>
      </c>
      <c r="F30" s="3">
        <v>68</v>
      </c>
      <c r="G30" s="1">
        <v>163</v>
      </c>
      <c r="H30" s="35">
        <f t="shared" si="0"/>
        <v>0.41717791411042943</v>
      </c>
      <c r="I30" s="4">
        <v>78</v>
      </c>
      <c r="J30" s="5">
        <v>130</v>
      </c>
      <c r="K30" s="5">
        <v>80</v>
      </c>
      <c r="L30" s="4">
        <v>20</v>
      </c>
      <c r="M30" s="1" t="s">
        <v>26</v>
      </c>
      <c r="N30" s="6">
        <v>9</v>
      </c>
      <c r="O30" s="1">
        <v>35</v>
      </c>
      <c r="P30" s="1">
        <v>2</v>
      </c>
      <c r="Q30" s="1" t="s">
        <v>24</v>
      </c>
      <c r="R30" s="1" t="s">
        <v>19</v>
      </c>
      <c r="S30" s="1" t="s">
        <v>25</v>
      </c>
      <c r="T30" s="54">
        <v>355276</v>
      </c>
      <c r="U30" s="54">
        <v>22</v>
      </c>
      <c r="V30" s="54">
        <v>9</v>
      </c>
      <c r="W30" s="54">
        <v>13</v>
      </c>
      <c r="X30" s="54" t="s">
        <v>48</v>
      </c>
      <c r="Y30" s="55">
        <v>0</v>
      </c>
    </row>
    <row r="31" spans="1:25" x14ac:dyDescent="0.3">
      <c r="A31" s="13">
        <v>30</v>
      </c>
      <c r="B31" s="1">
        <v>61</v>
      </c>
      <c r="C31" s="1" t="s">
        <v>14</v>
      </c>
      <c r="D31" s="1" t="s">
        <v>15</v>
      </c>
      <c r="E31" s="1" t="s">
        <v>22</v>
      </c>
      <c r="F31" s="3">
        <v>60</v>
      </c>
      <c r="G31" s="1">
        <v>169</v>
      </c>
      <c r="H31" s="35">
        <f t="shared" si="0"/>
        <v>0.35502958579881655</v>
      </c>
      <c r="I31" s="4">
        <v>60</v>
      </c>
      <c r="J31" s="5">
        <v>130</v>
      </c>
      <c r="K31" s="5">
        <v>70</v>
      </c>
      <c r="L31" s="4">
        <v>24</v>
      </c>
      <c r="M31" s="1"/>
      <c r="N31" s="6">
        <v>12.2</v>
      </c>
      <c r="O31" s="1">
        <v>18</v>
      </c>
      <c r="P31" s="1">
        <v>0.7</v>
      </c>
      <c r="Q31" s="1" t="s">
        <v>24</v>
      </c>
      <c r="R31" s="1" t="s">
        <v>19</v>
      </c>
      <c r="S31" s="1" t="s">
        <v>25</v>
      </c>
      <c r="T31" s="54">
        <v>229289</v>
      </c>
      <c r="U31" s="54">
        <v>12</v>
      </c>
      <c r="V31" s="54">
        <v>5</v>
      </c>
      <c r="W31" s="54">
        <v>7</v>
      </c>
      <c r="X31" s="54" t="s">
        <v>48</v>
      </c>
      <c r="Y31" s="55">
        <v>0</v>
      </c>
    </row>
    <row r="32" spans="1:25" x14ac:dyDescent="0.3">
      <c r="A32" s="13">
        <v>31</v>
      </c>
      <c r="B32" s="1">
        <v>46</v>
      </c>
      <c r="C32" s="1" t="s">
        <v>14</v>
      </c>
      <c r="D32" s="1" t="s">
        <v>15</v>
      </c>
      <c r="E32" s="1" t="s">
        <v>21</v>
      </c>
      <c r="F32" s="3">
        <v>53</v>
      </c>
      <c r="G32" s="1">
        <v>159</v>
      </c>
      <c r="H32" s="35">
        <f t="shared" si="0"/>
        <v>0.33333333333333331</v>
      </c>
      <c r="I32" s="4">
        <v>96</v>
      </c>
      <c r="J32" s="5">
        <v>140</v>
      </c>
      <c r="K32" s="5">
        <v>90</v>
      </c>
      <c r="L32" s="4">
        <v>20</v>
      </c>
      <c r="M32" s="1" t="s">
        <v>26</v>
      </c>
      <c r="N32" s="6">
        <v>15</v>
      </c>
      <c r="O32" s="1">
        <v>20</v>
      </c>
      <c r="P32" s="1">
        <v>1</v>
      </c>
      <c r="Q32" s="1" t="s">
        <v>24</v>
      </c>
      <c r="R32" s="1" t="s">
        <v>19</v>
      </c>
      <c r="S32" s="1" t="s">
        <v>25</v>
      </c>
      <c r="T32" s="54">
        <v>247473</v>
      </c>
      <c r="U32" s="54">
        <v>15</v>
      </c>
      <c r="V32" s="54">
        <v>4</v>
      </c>
      <c r="W32" s="54">
        <v>11</v>
      </c>
      <c r="X32" s="54" t="s">
        <v>48</v>
      </c>
      <c r="Y32" s="55">
        <v>0</v>
      </c>
    </row>
    <row r="33" spans="1:25" x14ac:dyDescent="0.3">
      <c r="A33" s="13">
        <v>32</v>
      </c>
      <c r="B33" s="1">
        <v>56</v>
      </c>
      <c r="C33" s="1" t="s">
        <v>14</v>
      </c>
      <c r="D33" s="1" t="s">
        <v>15</v>
      </c>
      <c r="E33" s="1" t="s">
        <v>33</v>
      </c>
      <c r="F33" s="3">
        <v>61</v>
      </c>
      <c r="G33" s="1">
        <v>163</v>
      </c>
      <c r="H33" s="35">
        <f t="shared" si="0"/>
        <v>0.37423312883435583</v>
      </c>
      <c r="I33" s="4">
        <v>73</v>
      </c>
      <c r="J33" s="5">
        <v>100</v>
      </c>
      <c r="K33" s="5">
        <v>60</v>
      </c>
      <c r="L33" s="4">
        <v>24</v>
      </c>
      <c r="M33" s="1" t="s">
        <v>26</v>
      </c>
      <c r="N33" s="6">
        <v>16.2</v>
      </c>
      <c r="O33" s="1">
        <v>28</v>
      </c>
      <c r="P33" s="1">
        <v>1</v>
      </c>
      <c r="Q33" s="1" t="s">
        <v>24</v>
      </c>
      <c r="R33" s="1" t="s">
        <v>19</v>
      </c>
      <c r="S33" s="1" t="s">
        <v>25</v>
      </c>
      <c r="T33" s="54">
        <v>395163</v>
      </c>
      <c r="U33" s="54">
        <v>15</v>
      </c>
      <c r="V33" s="54">
        <v>4</v>
      </c>
      <c r="W33" s="54">
        <v>11</v>
      </c>
      <c r="X33" s="54" t="s">
        <v>47</v>
      </c>
      <c r="Y33" s="55">
        <v>39690</v>
      </c>
    </row>
    <row r="34" spans="1:25" x14ac:dyDescent="0.3">
      <c r="A34" s="13">
        <v>33</v>
      </c>
      <c r="B34" s="1">
        <v>61</v>
      </c>
      <c r="C34" s="1" t="s">
        <v>14</v>
      </c>
      <c r="D34" s="1" t="s">
        <v>15</v>
      </c>
      <c r="E34" s="1" t="s">
        <v>22</v>
      </c>
      <c r="F34" s="3">
        <v>65</v>
      </c>
      <c r="G34" s="1">
        <v>170</v>
      </c>
      <c r="H34" s="35">
        <f t="shared" si="0"/>
        <v>0.38235294117647056</v>
      </c>
      <c r="I34" s="4">
        <v>76</v>
      </c>
      <c r="J34" s="5">
        <v>140</v>
      </c>
      <c r="K34" s="5">
        <v>80</v>
      </c>
      <c r="L34" s="4">
        <v>26</v>
      </c>
      <c r="M34" s="1" t="s">
        <v>26</v>
      </c>
      <c r="N34" s="6">
        <v>13.49</v>
      </c>
      <c r="O34" s="1">
        <v>66</v>
      </c>
      <c r="P34" s="1">
        <v>1.9</v>
      </c>
      <c r="Q34" s="1" t="s">
        <v>18</v>
      </c>
      <c r="R34" s="1" t="s">
        <v>19</v>
      </c>
      <c r="S34" s="1" t="s">
        <v>20</v>
      </c>
      <c r="T34" s="54">
        <v>418429</v>
      </c>
      <c r="U34" s="54">
        <v>12</v>
      </c>
      <c r="V34" s="54">
        <v>11</v>
      </c>
      <c r="W34" s="54">
        <v>1</v>
      </c>
      <c r="X34" s="54" t="s">
        <v>47</v>
      </c>
      <c r="Y34" s="55">
        <v>38000</v>
      </c>
    </row>
    <row r="35" spans="1:25" ht="26.4" x14ac:dyDescent="0.3">
      <c r="A35" s="13">
        <v>34</v>
      </c>
      <c r="B35" s="1">
        <v>7</v>
      </c>
      <c r="C35" s="1" t="s">
        <v>14</v>
      </c>
      <c r="D35" s="1" t="s">
        <v>29</v>
      </c>
      <c r="E35" s="1" t="s">
        <v>34</v>
      </c>
      <c r="F35" s="3">
        <v>7</v>
      </c>
      <c r="G35" s="1">
        <v>68</v>
      </c>
      <c r="H35" s="35">
        <f t="shared" si="0"/>
        <v>0.10294117647058823</v>
      </c>
      <c r="I35" s="4">
        <v>155</v>
      </c>
      <c r="J35" s="5">
        <v>91</v>
      </c>
      <c r="K35" s="5">
        <v>45</v>
      </c>
      <c r="L35" s="4">
        <v>30</v>
      </c>
      <c r="M35" s="1"/>
      <c r="N35" s="6">
        <v>13</v>
      </c>
      <c r="O35" s="1">
        <v>16</v>
      </c>
      <c r="P35" s="1"/>
      <c r="Q35" s="1" t="s">
        <v>24</v>
      </c>
      <c r="R35" s="1" t="s">
        <v>19</v>
      </c>
      <c r="S35" s="1" t="s">
        <v>25</v>
      </c>
      <c r="T35" s="54">
        <v>359280</v>
      </c>
      <c r="U35" s="54">
        <v>22</v>
      </c>
      <c r="V35" s="54">
        <v>12</v>
      </c>
      <c r="W35" s="54">
        <v>10</v>
      </c>
      <c r="X35" s="54" t="s">
        <v>48</v>
      </c>
      <c r="Y35" s="55">
        <v>0</v>
      </c>
    </row>
    <row r="36" spans="1:25" x14ac:dyDescent="0.3">
      <c r="A36" s="13">
        <v>35</v>
      </c>
      <c r="B36" s="1">
        <v>70</v>
      </c>
      <c r="C36" s="1" t="s">
        <v>14</v>
      </c>
      <c r="D36" s="1" t="s">
        <v>15</v>
      </c>
      <c r="E36" s="1" t="s">
        <v>16</v>
      </c>
      <c r="F36" s="3">
        <v>60</v>
      </c>
      <c r="G36" s="1">
        <v>160</v>
      </c>
      <c r="H36" s="35">
        <f t="shared" si="0"/>
        <v>0.375</v>
      </c>
      <c r="I36" s="4">
        <v>43</v>
      </c>
      <c r="J36" s="5">
        <v>140</v>
      </c>
      <c r="K36" s="5">
        <v>60</v>
      </c>
      <c r="L36" s="4">
        <v>13</v>
      </c>
      <c r="M36" s="1" t="s">
        <v>26</v>
      </c>
      <c r="N36" s="6">
        <v>11.7</v>
      </c>
      <c r="O36" s="1"/>
      <c r="P36" s="1">
        <v>5.2</v>
      </c>
      <c r="Q36" s="1" t="s">
        <v>18</v>
      </c>
      <c r="R36" s="1" t="s">
        <v>35</v>
      </c>
      <c r="S36" s="1" t="s">
        <v>20</v>
      </c>
      <c r="T36" s="54">
        <v>349318</v>
      </c>
      <c r="U36" s="54">
        <v>11</v>
      </c>
      <c r="V36" s="54">
        <v>5</v>
      </c>
      <c r="W36" s="54">
        <v>6</v>
      </c>
      <c r="X36" s="54" t="s">
        <v>47</v>
      </c>
      <c r="Y36" s="55">
        <v>56000</v>
      </c>
    </row>
    <row r="37" spans="1:25" x14ac:dyDescent="0.3">
      <c r="A37" s="13">
        <v>36</v>
      </c>
      <c r="B37" s="6">
        <v>0.83333333333333337</v>
      </c>
      <c r="C37" s="1" t="s">
        <v>14</v>
      </c>
      <c r="D37" s="1" t="s">
        <v>29</v>
      </c>
      <c r="E37" s="1" t="s">
        <v>16</v>
      </c>
      <c r="F37" s="3">
        <v>6</v>
      </c>
      <c r="G37" s="1">
        <v>68</v>
      </c>
      <c r="H37" s="35">
        <f t="shared" si="0"/>
        <v>8.8235294117647065E-2</v>
      </c>
      <c r="I37" s="4">
        <v>120</v>
      </c>
      <c r="J37" s="5"/>
      <c r="K37" s="5"/>
      <c r="L37" s="4">
        <v>22</v>
      </c>
      <c r="M37" s="1"/>
      <c r="N37" s="6">
        <v>10.4</v>
      </c>
      <c r="O37" s="1">
        <v>24</v>
      </c>
      <c r="P37" s="1">
        <v>0.3</v>
      </c>
      <c r="Q37" s="1" t="s">
        <v>24</v>
      </c>
      <c r="R37" s="1" t="s">
        <v>19</v>
      </c>
      <c r="S37" s="1" t="s">
        <v>25</v>
      </c>
      <c r="T37" s="54">
        <v>551809</v>
      </c>
      <c r="U37" s="54">
        <v>32</v>
      </c>
      <c r="V37" s="54">
        <v>30</v>
      </c>
      <c r="W37" s="54">
        <v>2</v>
      </c>
      <c r="X37" s="54" t="s">
        <v>48</v>
      </c>
      <c r="Y37" s="55">
        <v>0</v>
      </c>
    </row>
    <row r="38" spans="1:25" x14ac:dyDescent="0.3">
      <c r="A38" s="13">
        <v>37</v>
      </c>
      <c r="B38" s="6">
        <v>0.83333333333333337</v>
      </c>
      <c r="C38" s="1" t="s">
        <v>14</v>
      </c>
      <c r="D38" s="1" t="s">
        <v>15</v>
      </c>
      <c r="E38" s="1" t="s">
        <v>22</v>
      </c>
      <c r="F38" s="3">
        <v>78</v>
      </c>
      <c r="G38" s="1">
        <v>173</v>
      </c>
      <c r="H38" s="35">
        <f t="shared" si="0"/>
        <v>0.45086705202312138</v>
      </c>
      <c r="I38" s="4">
        <v>82</v>
      </c>
      <c r="J38" s="5">
        <v>130</v>
      </c>
      <c r="K38" s="5">
        <v>80</v>
      </c>
      <c r="L38" s="4">
        <v>24</v>
      </c>
      <c r="M38" s="1" t="s">
        <v>23</v>
      </c>
      <c r="N38" s="6">
        <v>13</v>
      </c>
      <c r="O38" s="1">
        <v>82</v>
      </c>
      <c r="P38" s="1">
        <v>2</v>
      </c>
      <c r="Q38" s="1" t="s">
        <v>24</v>
      </c>
      <c r="R38" s="1" t="s">
        <v>19</v>
      </c>
      <c r="S38" s="1" t="s">
        <v>25</v>
      </c>
      <c r="T38" s="54">
        <v>293127</v>
      </c>
      <c r="U38" s="54">
        <v>12</v>
      </c>
      <c r="V38" s="54">
        <v>5</v>
      </c>
      <c r="W38" s="54">
        <v>7</v>
      </c>
      <c r="X38" s="54" t="s">
        <v>48</v>
      </c>
      <c r="Y38" s="55">
        <v>0</v>
      </c>
    </row>
    <row r="39" spans="1:25" x14ac:dyDescent="0.3">
      <c r="A39" s="13">
        <v>38</v>
      </c>
      <c r="B39" s="1">
        <v>63</v>
      </c>
      <c r="C39" s="1" t="s">
        <v>27</v>
      </c>
      <c r="D39" s="1" t="s">
        <v>15</v>
      </c>
      <c r="E39" s="1" t="s">
        <v>16</v>
      </c>
      <c r="F39" s="3">
        <v>59</v>
      </c>
      <c r="G39" s="1">
        <v>162</v>
      </c>
      <c r="H39" s="35">
        <f t="shared" si="0"/>
        <v>0.36419753086419754</v>
      </c>
      <c r="I39" s="4">
        <v>76</v>
      </c>
      <c r="J39" s="5">
        <v>150</v>
      </c>
      <c r="K39" s="5">
        <v>80</v>
      </c>
      <c r="L39" s="4">
        <v>15</v>
      </c>
      <c r="M39" s="1" t="s">
        <v>30</v>
      </c>
      <c r="N39" s="6">
        <v>12</v>
      </c>
      <c r="O39" s="1">
        <v>28</v>
      </c>
      <c r="P39" s="1">
        <v>1</v>
      </c>
      <c r="Q39" s="1" t="s">
        <v>24</v>
      </c>
      <c r="R39" s="1" t="s">
        <v>19</v>
      </c>
      <c r="S39" s="1" t="s">
        <v>25</v>
      </c>
      <c r="T39" s="54">
        <v>260036</v>
      </c>
      <c r="U39" s="54">
        <v>16</v>
      </c>
      <c r="V39" s="54">
        <v>5</v>
      </c>
      <c r="W39" s="54">
        <v>11</v>
      </c>
      <c r="X39" s="54" t="s">
        <v>48</v>
      </c>
      <c r="Y39" s="55">
        <v>0</v>
      </c>
    </row>
    <row r="40" spans="1:25" x14ac:dyDescent="0.3">
      <c r="A40" s="13">
        <v>39</v>
      </c>
      <c r="B40" s="1">
        <v>55</v>
      </c>
      <c r="C40" s="1" t="s">
        <v>14</v>
      </c>
      <c r="D40" s="1" t="s">
        <v>15</v>
      </c>
      <c r="E40" s="1" t="s">
        <v>22</v>
      </c>
      <c r="F40" s="3">
        <v>76</v>
      </c>
      <c r="G40" s="1">
        <v>155</v>
      </c>
      <c r="H40" s="35">
        <f t="shared" si="0"/>
        <v>0.49032258064516127</v>
      </c>
      <c r="I40" s="4">
        <v>72</v>
      </c>
      <c r="J40" s="5">
        <v>130</v>
      </c>
      <c r="K40" s="5">
        <v>80</v>
      </c>
      <c r="L40" s="4">
        <v>28</v>
      </c>
      <c r="M40" s="1" t="s">
        <v>31</v>
      </c>
      <c r="N40" s="6">
        <v>13</v>
      </c>
      <c r="O40" s="1">
        <v>15</v>
      </c>
      <c r="P40" s="1"/>
      <c r="Q40" s="1" t="s">
        <v>24</v>
      </c>
      <c r="R40" s="1" t="s">
        <v>19</v>
      </c>
      <c r="S40" s="1" t="s">
        <v>25</v>
      </c>
      <c r="T40" s="54">
        <v>163765</v>
      </c>
      <c r="U40" s="54">
        <v>10</v>
      </c>
      <c r="V40" s="54">
        <v>1</v>
      </c>
      <c r="W40" s="54">
        <v>9</v>
      </c>
      <c r="X40" s="54" t="s">
        <v>48</v>
      </c>
      <c r="Y40" s="55">
        <v>0</v>
      </c>
    </row>
    <row r="41" spans="1:25" x14ac:dyDescent="0.3">
      <c r="A41" s="13">
        <v>40</v>
      </c>
      <c r="B41" s="1">
        <v>67</v>
      </c>
      <c r="C41" s="1" t="s">
        <v>14</v>
      </c>
      <c r="D41" s="1" t="s">
        <v>15</v>
      </c>
      <c r="E41" s="1"/>
      <c r="F41" s="3">
        <v>57</v>
      </c>
      <c r="G41" s="1">
        <v>167</v>
      </c>
      <c r="H41" s="35">
        <f t="shared" si="0"/>
        <v>0.3413173652694611</v>
      </c>
      <c r="I41" s="4">
        <v>90</v>
      </c>
      <c r="J41" s="5">
        <v>120</v>
      </c>
      <c r="K41" s="5">
        <v>80</v>
      </c>
      <c r="L41" s="4">
        <v>24</v>
      </c>
      <c r="M41" s="1"/>
      <c r="N41" s="6">
        <v>15</v>
      </c>
      <c r="O41" s="1">
        <v>24</v>
      </c>
      <c r="P41" s="1">
        <v>1</v>
      </c>
      <c r="Q41" s="1" t="s">
        <v>24</v>
      </c>
      <c r="R41" s="1" t="s">
        <v>19</v>
      </c>
      <c r="S41" s="1" t="s">
        <v>25</v>
      </c>
      <c r="T41" s="54">
        <v>162364</v>
      </c>
      <c r="U41" s="54">
        <v>13</v>
      </c>
      <c r="V41" s="54">
        <v>4</v>
      </c>
      <c r="W41" s="54">
        <v>9</v>
      </c>
      <c r="X41" s="54" t="s">
        <v>48</v>
      </c>
      <c r="Y41" s="55">
        <v>0</v>
      </c>
    </row>
    <row r="42" spans="1:25" x14ac:dyDescent="0.3">
      <c r="A42" s="13">
        <v>41</v>
      </c>
      <c r="B42" s="1">
        <v>62</v>
      </c>
      <c r="C42" s="1" t="s">
        <v>14</v>
      </c>
      <c r="D42" s="1" t="s">
        <v>15</v>
      </c>
      <c r="E42" s="1" t="s">
        <v>22</v>
      </c>
      <c r="F42" s="3">
        <v>72</v>
      </c>
      <c r="G42" s="1">
        <v>172</v>
      </c>
      <c r="H42" s="35">
        <f t="shared" si="0"/>
        <v>0.41860465116279072</v>
      </c>
      <c r="I42" s="4">
        <v>63</v>
      </c>
      <c r="J42" s="5">
        <v>110</v>
      </c>
      <c r="K42" s="5">
        <v>70</v>
      </c>
      <c r="L42" s="4">
        <v>26</v>
      </c>
      <c r="M42" s="1"/>
      <c r="N42" s="6">
        <v>13</v>
      </c>
      <c r="O42" s="1">
        <v>17</v>
      </c>
      <c r="P42" s="1">
        <v>1</v>
      </c>
      <c r="Q42" s="1" t="s">
        <v>24</v>
      </c>
      <c r="R42" s="1" t="s">
        <v>19</v>
      </c>
      <c r="S42" s="1" t="s">
        <v>25</v>
      </c>
      <c r="T42" s="54">
        <v>144037.23000000001</v>
      </c>
      <c r="U42" s="54">
        <v>8</v>
      </c>
      <c r="V42" s="54">
        <v>1</v>
      </c>
      <c r="W42" s="54">
        <v>7</v>
      </c>
      <c r="X42" s="54" t="s">
        <v>48</v>
      </c>
      <c r="Y42" s="55">
        <v>0</v>
      </c>
    </row>
    <row r="43" spans="1:25" x14ac:dyDescent="0.3">
      <c r="A43" s="13">
        <v>42</v>
      </c>
      <c r="B43" s="1">
        <v>69</v>
      </c>
      <c r="C43" s="1" t="s">
        <v>14</v>
      </c>
      <c r="D43" s="1" t="s">
        <v>15</v>
      </c>
      <c r="E43" s="1" t="s">
        <v>16</v>
      </c>
      <c r="F43" s="3">
        <v>73</v>
      </c>
      <c r="G43" s="1">
        <v>160</v>
      </c>
      <c r="H43" s="35">
        <f t="shared" si="0"/>
        <v>0.45624999999999999</v>
      </c>
      <c r="I43" s="4">
        <v>67</v>
      </c>
      <c r="J43" s="5">
        <v>140</v>
      </c>
      <c r="K43" s="5">
        <v>80</v>
      </c>
      <c r="L43" s="4">
        <v>29</v>
      </c>
      <c r="M43" s="1" t="s">
        <v>30</v>
      </c>
      <c r="N43" s="6">
        <v>12</v>
      </c>
      <c r="O43" s="1">
        <v>27</v>
      </c>
      <c r="P43" s="1">
        <v>1</v>
      </c>
      <c r="Q43" s="1" t="s">
        <v>18</v>
      </c>
      <c r="R43" s="1" t="s">
        <v>19</v>
      </c>
      <c r="S43" s="1" t="s">
        <v>20</v>
      </c>
      <c r="T43" s="54">
        <v>183204</v>
      </c>
      <c r="U43" s="54">
        <v>13</v>
      </c>
      <c r="V43" s="54">
        <v>6</v>
      </c>
      <c r="W43" s="54">
        <v>7</v>
      </c>
      <c r="X43" s="54" t="s">
        <v>48</v>
      </c>
      <c r="Y43" s="55">
        <v>0</v>
      </c>
    </row>
    <row r="44" spans="1:25" ht="26.4" x14ac:dyDescent="0.3">
      <c r="A44" s="13">
        <v>43</v>
      </c>
      <c r="B44" s="1">
        <v>67</v>
      </c>
      <c r="C44" s="1" t="s">
        <v>27</v>
      </c>
      <c r="D44" s="1" t="s">
        <v>15</v>
      </c>
      <c r="E44" s="1" t="s">
        <v>34</v>
      </c>
      <c r="F44" s="3">
        <v>59</v>
      </c>
      <c r="G44" s="1">
        <v>138</v>
      </c>
      <c r="H44" s="35">
        <f t="shared" si="0"/>
        <v>0.42753623188405798</v>
      </c>
      <c r="I44" s="4">
        <v>88</v>
      </c>
      <c r="J44" s="5">
        <v>160</v>
      </c>
      <c r="K44" s="5">
        <v>70</v>
      </c>
      <c r="L44" s="4">
        <v>28</v>
      </c>
      <c r="M44" s="1" t="s">
        <v>31</v>
      </c>
      <c r="N44" s="6">
        <v>10</v>
      </c>
      <c r="O44" s="1">
        <v>37</v>
      </c>
      <c r="P44" s="1">
        <v>1</v>
      </c>
      <c r="Q44" s="1" t="s">
        <v>37</v>
      </c>
      <c r="R44" s="1" t="s">
        <v>19</v>
      </c>
      <c r="S44" s="1" t="s">
        <v>25</v>
      </c>
      <c r="T44" s="54">
        <v>164962</v>
      </c>
      <c r="U44" s="54">
        <v>12</v>
      </c>
      <c r="V44" s="54">
        <v>2</v>
      </c>
      <c r="W44" s="54">
        <v>10</v>
      </c>
      <c r="X44" s="54" t="s">
        <v>48</v>
      </c>
      <c r="Y44" s="55">
        <v>0</v>
      </c>
    </row>
    <row r="45" spans="1:25" x14ac:dyDescent="0.3">
      <c r="A45" s="13">
        <v>44</v>
      </c>
      <c r="B45" s="1">
        <v>50</v>
      </c>
      <c r="C45" s="1" t="s">
        <v>14</v>
      </c>
      <c r="D45" s="1" t="s">
        <v>15</v>
      </c>
      <c r="E45" s="1"/>
      <c r="F45" s="3">
        <v>65</v>
      </c>
      <c r="G45" s="1">
        <v>155</v>
      </c>
      <c r="H45" s="35">
        <f t="shared" si="0"/>
        <v>0.41935483870967744</v>
      </c>
      <c r="I45" s="4">
        <v>59</v>
      </c>
      <c r="J45" s="5">
        <v>120</v>
      </c>
      <c r="K45" s="5">
        <v>70</v>
      </c>
      <c r="L45" s="4">
        <v>20</v>
      </c>
      <c r="M45" s="1"/>
      <c r="N45" s="6">
        <v>16</v>
      </c>
      <c r="O45" s="1">
        <v>26</v>
      </c>
      <c r="P45" s="1">
        <v>1</v>
      </c>
      <c r="Q45" s="1" t="s">
        <v>18</v>
      </c>
      <c r="R45" s="1" t="s">
        <v>19</v>
      </c>
      <c r="S45" s="1" t="s">
        <v>20</v>
      </c>
      <c r="T45" s="54">
        <v>178100</v>
      </c>
      <c r="U45" s="54">
        <v>14</v>
      </c>
      <c r="V45" s="54">
        <v>3</v>
      </c>
      <c r="W45" s="54">
        <v>11</v>
      </c>
      <c r="X45" s="54" t="s">
        <v>48</v>
      </c>
      <c r="Y45" s="55">
        <v>0</v>
      </c>
    </row>
    <row r="46" spans="1:25" ht="26.4" x14ac:dyDescent="0.3">
      <c r="A46" s="13">
        <v>45</v>
      </c>
      <c r="B46" s="1">
        <v>3</v>
      </c>
      <c r="C46" s="1" t="s">
        <v>14</v>
      </c>
      <c r="D46" s="1" t="s">
        <v>29</v>
      </c>
      <c r="E46" s="1" t="s">
        <v>34</v>
      </c>
      <c r="F46" s="3">
        <v>10</v>
      </c>
      <c r="G46" s="1">
        <v>85</v>
      </c>
      <c r="H46" s="35">
        <f t="shared" si="0"/>
        <v>0.11764705882352941</v>
      </c>
      <c r="I46" s="4">
        <v>120</v>
      </c>
      <c r="J46" s="5">
        <v>88</v>
      </c>
      <c r="K46" s="5">
        <v>44</v>
      </c>
      <c r="L46" s="4">
        <v>24</v>
      </c>
      <c r="M46" s="1"/>
      <c r="N46" s="6">
        <v>8</v>
      </c>
      <c r="O46" s="1">
        <v>18</v>
      </c>
      <c r="P46" s="1"/>
      <c r="Q46" s="1" t="s">
        <v>24</v>
      </c>
      <c r="R46" s="1" t="s">
        <v>19</v>
      </c>
      <c r="S46" s="1" t="s">
        <v>25</v>
      </c>
      <c r="T46" s="54">
        <v>169726.43</v>
      </c>
      <c r="U46" s="54">
        <v>11</v>
      </c>
      <c r="V46" s="54">
        <v>2</v>
      </c>
      <c r="W46" s="54">
        <v>9</v>
      </c>
      <c r="X46" s="54" t="s">
        <v>48</v>
      </c>
      <c r="Y46" s="55">
        <v>0</v>
      </c>
    </row>
    <row r="47" spans="1:25" x14ac:dyDescent="0.3">
      <c r="A47" s="13">
        <v>46</v>
      </c>
      <c r="B47" s="1">
        <v>78</v>
      </c>
      <c r="C47" s="1" t="s">
        <v>14</v>
      </c>
      <c r="D47" s="1" t="s">
        <v>15</v>
      </c>
      <c r="E47" s="1"/>
      <c r="F47" s="3">
        <v>48</v>
      </c>
      <c r="G47" s="1">
        <v>158</v>
      </c>
      <c r="H47" s="35">
        <f t="shared" si="0"/>
        <v>0.30379746835443039</v>
      </c>
      <c r="I47" s="4">
        <v>88</v>
      </c>
      <c r="J47" s="5">
        <v>120</v>
      </c>
      <c r="K47" s="5">
        <v>70</v>
      </c>
      <c r="L47" s="4">
        <v>20</v>
      </c>
      <c r="M47" s="1" t="s">
        <v>26</v>
      </c>
      <c r="N47" s="6">
        <v>12</v>
      </c>
      <c r="O47" s="1">
        <v>18</v>
      </c>
      <c r="P47" s="1">
        <v>1</v>
      </c>
      <c r="Q47" s="1" t="s">
        <v>24</v>
      </c>
      <c r="R47" s="1" t="s">
        <v>19</v>
      </c>
      <c r="S47" s="1" t="s">
        <v>25</v>
      </c>
      <c r="T47" s="54">
        <v>164719</v>
      </c>
      <c r="U47" s="54">
        <v>11</v>
      </c>
      <c r="V47" s="54">
        <v>4</v>
      </c>
      <c r="W47" s="54">
        <v>7</v>
      </c>
      <c r="X47" s="54" t="s">
        <v>48</v>
      </c>
      <c r="Y47" s="55">
        <v>0</v>
      </c>
    </row>
    <row r="48" spans="1:25" x14ac:dyDescent="0.3">
      <c r="A48" s="13">
        <v>47</v>
      </c>
      <c r="B48" s="1">
        <v>39</v>
      </c>
      <c r="C48" s="1" t="s">
        <v>27</v>
      </c>
      <c r="D48" s="1" t="s">
        <v>15</v>
      </c>
      <c r="E48" s="1"/>
      <c r="F48" s="3">
        <v>77</v>
      </c>
      <c r="G48" s="1">
        <v>153</v>
      </c>
      <c r="H48" s="35">
        <f t="shared" si="0"/>
        <v>0.50326797385620914</v>
      </c>
      <c r="I48" s="4">
        <v>86</v>
      </c>
      <c r="J48" s="5">
        <v>130</v>
      </c>
      <c r="K48" s="5">
        <v>80</v>
      </c>
      <c r="L48" s="4">
        <v>26</v>
      </c>
      <c r="M48" s="1"/>
      <c r="N48" s="6">
        <v>13</v>
      </c>
      <c r="O48" s="1">
        <v>21</v>
      </c>
      <c r="P48" s="1">
        <v>1</v>
      </c>
      <c r="Q48" s="1" t="s">
        <v>24</v>
      </c>
      <c r="R48" s="1" t="s">
        <v>19</v>
      </c>
      <c r="S48" s="1" t="s">
        <v>25</v>
      </c>
      <c r="T48" s="54">
        <v>133130</v>
      </c>
      <c r="U48" s="54">
        <v>8</v>
      </c>
      <c r="V48" s="54">
        <v>2</v>
      </c>
      <c r="W48" s="54">
        <v>6</v>
      </c>
      <c r="X48" s="54" t="s">
        <v>48</v>
      </c>
      <c r="Y48" s="55">
        <v>0</v>
      </c>
    </row>
    <row r="49" spans="1:25" x14ac:dyDescent="0.3">
      <c r="A49" s="13">
        <v>48</v>
      </c>
      <c r="B49" s="1">
        <v>64</v>
      </c>
      <c r="C49" s="1" t="s">
        <v>14</v>
      </c>
      <c r="D49" s="1" t="s">
        <v>15</v>
      </c>
      <c r="E49" s="1"/>
      <c r="F49" s="3">
        <v>68</v>
      </c>
      <c r="G49" s="1">
        <v>162</v>
      </c>
      <c r="H49" s="35">
        <f t="shared" si="0"/>
        <v>0.41975308641975306</v>
      </c>
      <c r="I49" s="4">
        <v>60</v>
      </c>
      <c r="J49" s="5">
        <v>130</v>
      </c>
      <c r="K49" s="5">
        <v>90</v>
      </c>
      <c r="L49" s="4">
        <v>24</v>
      </c>
      <c r="M49" s="1" t="s">
        <v>26</v>
      </c>
      <c r="N49" s="6">
        <v>14</v>
      </c>
      <c r="O49" s="1">
        <v>22</v>
      </c>
      <c r="P49" s="1">
        <v>1</v>
      </c>
      <c r="Q49" s="1" t="s">
        <v>24</v>
      </c>
      <c r="R49" s="1" t="s">
        <v>19</v>
      </c>
      <c r="S49" s="1" t="s">
        <v>25</v>
      </c>
      <c r="T49" s="54">
        <v>146308.6</v>
      </c>
      <c r="U49" s="54">
        <v>9</v>
      </c>
      <c r="V49" s="54">
        <v>2</v>
      </c>
      <c r="W49" s="54">
        <v>7</v>
      </c>
      <c r="X49" s="54" t="s">
        <v>48</v>
      </c>
      <c r="Y49" s="55">
        <v>0</v>
      </c>
    </row>
    <row r="50" spans="1:25" x14ac:dyDescent="0.3">
      <c r="A50" s="13">
        <v>49</v>
      </c>
      <c r="B50" s="1">
        <v>53</v>
      </c>
      <c r="C50" s="1" t="s">
        <v>14</v>
      </c>
      <c r="D50" s="1" t="s">
        <v>15</v>
      </c>
      <c r="E50" s="1"/>
      <c r="F50" s="3">
        <v>55</v>
      </c>
      <c r="G50" s="1">
        <v>156</v>
      </c>
      <c r="H50" s="35">
        <f t="shared" si="0"/>
        <v>0.35256410256410259</v>
      </c>
      <c r="I50" s="4">
        <v>80</v>
      </c>
      <c r="J50" s="5">
        <v>140</v>
      </c>
      <c r="K50" s="5">
        <v>80</v>
      </c>
      <c r="L50" s="4">
        <v>20</v>
      </c>
      <c r="M50" s="1" t="s">
        <v>30</v>
      </c>
      <c r="N50" s="6">
        <v>13</v>
      </c>
      <c r="O50" s="1">
        <v>20</v>
      </c>
      <c r="P50" s="1">
        <v>1</v>
      </c>
      <c r="Q50" s="1" t="s">
        <v>24</v>
      </c>
      <c r="R50" s="1" t="s">
        <v>19</v>
      </c>
      <c r="S50" s="1" t="s">
        <v>25</v>
      </c>
      <c r="T50" s="54">
        <v>134497.65</v>
      </c>
      <c r="U50" s="54">
        <v>8</v>
      </c>
      <c r="V50" s="54">
        <v>2</v>
      </c>
      <c r="W50" s="54">
        <v>6</v>
      </c>
      <c r="X50" s="54" t="s">
        <v>48</v>
      </c>
      <c r="Y50" s="55">
        <v>0</v>
      </c>
    </row>
    <row r="51" spans="1:25" x14ac:dyDescent="0.3">
      <c r="A51" s="13">
        <v>50</v>
      </c>
      <c r="B51" s="1">
        <v>1</v>
      </c>
      <c r="C51" s="1" t="s">
        <v>14</v>
      </c>
      <c r="D51" s="1" t="s">
        <v>29</v>
      </c>
      <c r="E51" s="1" t="s">
        <v>38</v>
      </c>
      <c r="F51" s="3">
        <v>5</v>
      </c>
      <c r="G51" s="1">
        <v>66</v>
      </c>
      <c r="H51" s="35">
        <f t="shared" si="0"/>
        <v>7.575757575757576E-2</v>
      </c>
      <c r="I51" s="4">
        <v>100</v>
      </c>
      <c r="J51" s="5">
        <v>100</v>
      </c>
      <c r="K51" s="5">
        <v>70</v>
      </c>
      <c r="L51" s="4">
        <v>24</v>
      </c>
      <c r="M51" s="1"/>
      <c r="N51" s="6">
        <v>10</v>
      </c>
      <c r="O51" s="1">
        <v>50</v>
      </c>
      <c r="P51" s="1"/>
      <c r="Q51" s="1" t="s">
        <v>24</v>
      </c>
      <c r="R51" s="1" t="s">
        <v>19</v>
      </c>
      <c r="S51" s="1" t="s">
        <v>25</v>
      </c>
      <c r="T51" s="54">
        <v>206500.95</v>
      </c>
      <c r="U51" s="54">
        <v>15</v>
      </c>
      <c r="V51" s="54">
        <v>6</v>
      </c>
      <c r="W51" s="54">
        <v>9</v>
      </c>
      <c r="X51" s="54" t="s">
        <v>48</v>
      </c>
      <c r="Y51" s="55">
        <v>0</v>
      </c>
    </row>
    <row r="52" spans="1:25" x14ac:dyDescent="0.3">
      <c r="A52" s="13">
        <v>51</v>
      </c>
      <c r="B52" s="1">
        <v>55</v>
      </c>
      <c r="C52" s="1" t="s">
        <v>14</v>
      </c>
      <c r="D52" s="1" t="s">
        <v>15</v>
      </c>
      <c r="E52" s="1"/>
      <c r="F52" s="3">
        <v>78</v>
      </c>
      <c r="G52" s="1">
        <v>163</v>
      </c>
      <c r="H52" s="35">
        <f t="shared" si="0"/>
        <v>0.4785276073619632</v>
      </c>
      <c r="I52" s="4">
        <v>100</v>
      </c>
      <c r="J52" s="5">
        <v>140</v>
      </c>
      <c r="K52" s="5">
        <v>90</v>
      </c>
      <c r="L52" s="4">
        <v>22</v>
      </c>
      <c r="M52" s="1"/>
      <c r="N52" s="6">
        <v>15</v>
      </c>
      <c r="O52" s="1">
        <v>24</v>
      </c>
      <c r="P52" s="1">
        <v>1</v>
      </c>
      <c r="Q52" s="1" t="s">
        <v>24</v>
      </c>
      <c r="R52" s="1" t="s">
        <v>19</v>
      </c>
      <c r="S52" s="1" t="s">
        <v>25</v>
      </c>
      <c r="T52" s="54">
        <v>120131</v>
      </c>
      <c r="U52" s="54">
        <v>8</v>
      </c>
      <c r="V52" s="54">
        <v>1</v>
      </c>
      <c r="W52" s="54">
        <v>7</v>
      </c>
      <c r="X52" s="54" t="s">
        <v>48</v>
      </c>
      <c r="Y52" s="55">
        <v>0</v>
      </c>
    </row>
    <row r="53" spans="1:25" ht="26.4" x14ac:dyDescent="0.3">
      <c r="A53" s="13">
        <v>52</v>
      </c>
      <c r="B53" s="1">
        <v>56</v>
      </c>
      <c r="C53" s="1" t="s">
        <v>14</v>
      </c>
      <c r="D53" s="1" t="s">
        <v>15</v>
      </c>
      <c r="E53" s="1"/>
      <c r="F53" s="3">
        <v>56</v>
      </c>
      <c r="G53" s="1">
        <v>162</v>
      </c>
      <c r="H53" s="35">
        <f t="shared" si="0"/>
        <v>0.34567901234567899</v>
      </c>
      <c r="I53" s="4">
        <v>82</v>
      </c>
      <c r="J53" s="5">
        <v>150</v>
      </c>
      <c r="K53" s="5">
        <v>80</v>
      </c>
      <c r="L53" s="4">
        <v>24</v>
      </c>
      <c r="M53" s="1" t="s">
        <v>31</v>
      </c>
      <c r="N53" s="6">
        <v>10</v>
      </c>
      <c r="O53" s="1">
        <v>42</v>
      </c>
      <c r="P53" s="1">
        <v>3</v>
      </c>
      <c r="Q53" s="1" t="s">
        <v>37</v>
      </c>
      <c r="R53" s="1" t="s">
        <v>19</v>
      </c>
      <c r="S53" s="1" t="s">
        <v>25</v>
      </c>
      <c r="T53" s="54">
        <v>176340.75</v>
      </c>
      <c r="U53" s="54">
        <v>14</v>
      </c>
      <c r="V53" s="54">
        <v>2</v>
      </c>
      <c r="W53" s="54">
        <v>12</v>
      </c>
      <c r="X53" s="54" t="s">
        <v>48</v>
      </c>
      <c r="Y53" s="55">
        <v>0</v>
      </c>
    </row>
    <row r="54" spans="1:25" x14ac:dyDescent="0.3">
      <c r="A54" s="13">
        <v>53</v>
      </c>
      <c r="B54" s="1">
        <v>71</v>
      </c>
      <c r="C54" s="1" t="s">
        <v>14</v>
      </c>
      <c r="D54" s="1" t="s">
        <v>15</v>
      </c>
      <c r="E54" s="1" t="s">
        <v>21</v>
      </c>
      <c r="F54" s="3">
        <v>56</v>
      </c>
      <c r="G54" s="1">
        <v>160</v>
      </c>
      <c r="H54" s="35">
        <f t="shared" si="0"/>
        <v>0.35</v>
      </c>
      <c r="I54" s="4">
        <v>72</v>
      </c>
      <c r="J54" s="5">
        <v>130</v>
      </c>
      <c r="K54" s="5">
        <v>70</v>
      </c>
      <c r="L54" s="4">
        <v>20</v>
      </c>
      <c r="M54" s="1" t="s">
        <v>26</v>
      </c>
      <c r="N54" s="6">
        <v>13</v>
      </c>
      <c r="O54" s="1">
        <v>24</v>
      </c>
      <c r="P54" s="1">
        <v>1</v>
      </c>
      <c r="Q54" s="1" t="s">
        <v>24</v>
      </c>
      <c r="R54" s="1" t="s">
        <v>19</v>
      </c>
      <c r="S54" s="1" t="s">
        <v>25</v>
      </c>
      <c r="T54" s="54">
        <v>138923</v>
      </c>
      <c r="U54" s="54">
        <v>9</v>
      </c>
      <c r="V54" s="54">
        <v>2</v>
      </c>
      <c r="W54" s="54">
        <v>7</v>
      </c>
      <c r="X54" s="54" t="s">
        <v>48</v>
      </c>
      <c r="Y54" s="55">
        <v>0</v>
      </c>
    </row>
    <row r="55" spans="1:25" x14ac:dyDescent="0.3">
      <c r="A55" s="13">
        <v>54</v>
      </c>
      <c r="B55" s="1">
        <v>48</v>
      </c>
      <c r="C55" s="1" t="s">
        <v>14</v>
      </c>
      <c r="D55" s="1" t="s">
        <v>15</v>
      </c>
      <c r="E55" s="1"/>
      <c r="F55" s="3">
        <v>64</v>
      </c>
      <c r="G55" s="1">
        <v>158</v>
      </c>
      <c r="H55" s="35">
        <f t="shared" si="0"/>
        <v>0.4050632911392405</v>
      </c>
      <c r="I55" s="4">
        <v>74</v>
      </c>
      <c r="J55" s="5">
        <v>120</v>
      </c>
      <c r="K55" s="5">
        <v>70</v>
      </c>
      <c r="L55" s="4">
        <v>22</v>
      </c>
      <c r="M55" s="1" t="s">
        <v>31</v>
      </c>
      <c r="N55" s="6">
        <v>12</v>
      </c>
      <c r="O55" s="1">
        <v>28</v>
      </c>
      <c r="P55" s="1">
        <v>1</v>
      </c>
      <c r="Q55" s="1" t="s">
        <v>24</v>
      </c>
      <c r="R55" s="1" t="s">
        <v>19</v>
      </c>
      <c r="S55" s="1" t="s">
        <v>25</v>
      </c>
      <c r="T55" s="54">
        <v>162957.32</v>
      </c>
      <c r="U55" s="54">
        <v>9</v>
      </c>
      <c r="V55" s="54">
        <v>2</v>
      </c>
      <c r="W55" s="54">
        <v>7</v>
      </c>
      <c r="X55" s="54" t="s">
        <v>48</v>
      </c>
      <c r="Y55" s="55">
        <v>0</v>
      </c>
    </row>
    <row r="56" spans="1:25" x14ac:dyDescent="0.3">
      <c r="A56" s="13">
        <v>55</v>
      </c>
      <c r="B56" s="1">
        <v>53</v>
      </c>
      <c r="C56" s="1" t="s">
        <v>14</v>
      </c>
      <c r="D56" s="1" t="s">
        <v>15</v>
      </c>
      <c r="E56" s="1"/>
      <c r="F56" s="3">
        <v>59</v>
      </c>
      <c r="G56" s="1">
        <v>159</v>
      </c>
      <c r="H56" s="35">
        <f t="shared" si="0"/>
        <v>0.37106918238993708</v>
      </c>
      <c r="I56" s="4">
        <v>68</v>
      </c>
      <c r="J56" s="5">
        <v>130</v>
      </c>
      <c r="K56" s="5">
        <v>80</v>
      </c>
      <c r="L56" s="4">
        <v>16</v>
      </c>
      <c r="M56" s="1" t="s">
        <v>30</v>
      </c>
      <c r="N56" s="6">
        <v>14</v>
      </c>
      <c r="O56" s="1">
        <v>19</v>
      </c>
      <c r="P56" s="1">
        <v>1</v>
      </c>
      <c r="Q56" s="1" t="s">
        <v>24</v>
      </c>
      <c r="R56" s="1" t="s">
        <v>19</v>
      </c>
      <c r="S56" s="1" t="s">
        <v>25</v>
      </c>
      <c r="T56" s="54">
        <v>133009</v>
      </c>
      <c r="U56" s="54">
        <v>9</v>
      </c>
      <c r="V56" s="54">
        <v>2</v>
      </c>
      <c r="W56" s="54">
        <v>7</v>
      </c>
      <c r="X56" s="54" t="s">
        <v>48</v>
      </c>
      <c r="Y56" s="55">
        <v>0</v>
      </c>
    </row>
    <row r="57" spans="1:25" x14ac:dyDescent="0.3">
      <c r="A57" s="13">
        <v>56</v>
      </c>
      <c r="B57" s="1">
        <v>69</v>
      </c>
      <c r="C57" s="1" t="s">
        <v>14</v>
      </c>
      <c r="D57" s="1" t="s">
        <v>15</v>
      </c>
      <c r="E57" s="1"/>
      <c r="F57" s="3">
        <v>56</v>
      </c>
      <c r="G57" s="1">
        <v>166</v>
      </c>
      <c r="H57" s="35">
        <f t="shared" si="0"/>
        <v>0.33734939759036142</v>
      </c>
      <c r="I57" s="4">
        <v>84</v>
      </c>
      <c r="J57" s="5">
        <v>120</v>
      </c>
      <c r="K57" s="5">
        <v>70</v>
      </c>
      <c r="L57" s="4">
        <v>24</v>
      </c>
      <c r="M57" s="1" t="s">
        <v>39</v>
      </c>
      <c r="N57" s="6">
        <v>8</v>
      </c>
      <c r="O57" s="1">
        <v>16</v>
      </c>
      <c r="P57" s="1">
        <v>1</v>
      </c>
      <c r="Q57" s="1" t="s">
        <v>24</v>
      </c>
      <c r="R57" s="1" t="s">
        <v>19</v>
      </c>
      <c r="S57" s="1" t="s">
        <v>25</v>
      </c>
      <c r="T57" s="54">
        <v>163483</v>
      </c>
      <c r="U57" s="54">
        <v>9</v>
      </c>
      <c r="V57" s="54">
        <v>2</v>
      </c>
      <c r="W57" s="54">
        <v>7</v>
      </c>
      <c r="X57" s="54" t="s">
        <v>48</v>
      </c>
      <c r="Y57" s="55">
        <v>0</v>
      </c>
    </row>
    <row r="58" spans="1:25" x14ac:dyDescent="0.3">
      <c r="A58" s="13">
        <v>57</v>
      </c>
      <c r="B58" s="1">
        <v>25</v>
      </c>
      <c r="C58" s="1" t="s">
        <v>14</v>
      </c>
      <c r="D58" s="1" t="s">
        <v>15</v>
      </c>
      <c r="E58" s="1" t="s">
        <v>16</v>
      </c>
      <c r="F58" s="3">
        <v>47</v>
      </c>
      <c r="G58" s="1">
        <v>170</v>
      </c>
      <c r="H58" s="35">
        <f t="shared" si="0"/>
        <v>0.27647058823529413</v>
      </c>
      <c r="I58" s="4">
        <v>78</v>
      </c>
      <c r="J58" s="5">
        <v>130</v>
      </c>
      <c r="K58" s="5">
        <v>90</v>
      </c>
      <c r="L58" s="4">
        <v>24</v>
      </c>
      <c r="M58" s="1"/>
      <c r="N58" s="6">
        <v>16</v>
      </c>
      <c r="O58" s="1">
        <v>17</v>
      </c>
      <c r="P58" s="1">
        <v>1</v>
      </c>
      <c r="Q58" s="1" t="s">
        <v>24</v>
      </c>
      <c r="R58" s="1" t="s">
        <v>19</v>
      </c>
      <c r="S58" s="1" t="s">
        <v>25</v>
      </c>
      <c r="T58" s="54">
        <v>131837</v>
      </c>
      <c r="U58" s="54">
        <v>7</v>
      </c>
      <c r="V58" s="54">
        <v>1</v>
      </c>
      <c r="W58" s="54">
        <v>6</v>
      </c>
      <c r="X58" s="54" t="s">
        <v>48</v>
      </c>
      <c r="Y58" s="55">
        <v>0</v>
      </c>
    </row>
    <row r="59" spans="1:25" x14ac:dyDescent="0.3">
      <c r="A59" s="13">
        <v>58</v>
      </c>
      <c r="B59" s="1">
        <v>10</v>
      </c>
      <c r="C59" s="1" t="s">
        <v>14</v>
      </c>
      <c r="D59" s="1" t="s">
        <v>29</v>
      </c>
      <c r="E59" s="1"/>
      <c r="F59" s="3">
        <v>6</v>
      </c>
      <c r="G59" s="1">
        <v>64</v>
      </c>
      <c r="H59" s="35">
        <f t="shared" si="0"/>
        <v>9.375E-2</v>
      </c>
      <c r="I59" s="4">
        <v>96</v>
      </c>
      <c r="J59" s="5">
        <v>87</v>
      </c>
      <c r="K59" s="5">
        <v>57</v>
      </c>
      <c r="L59" s="4">
        <v>26</v>
      </c>
      <c r="M59" s="1" t="s">
        <v>40</v>
      </c>
      <c r="N59" s="6">
        <v>12</v>
      </c>
      <c r="O59" s="1">
        <v>67</v>
      </c>
      <c r="P59" s="1">
        <v>1</v>
      </c>
      <c r="Q59" s="1" t="s">
        <v>24</v>
      </c>
      <c r="R59" s="1" t="s">
        <v>19</v>
      </c>
      <c r="S59" s="1" t="s">
        <v>25</v>
      </c>
      <c r="T59" s="54">
        <v>163372</v>
      </c>
      <c r="U59" s="54">
        <v>13</v>
      </c>
      <c r="V59" s="54">
        <v>3</v>
      </c>
      <c r="W59" s="54">
        <v>10</v>
      </c>
      <c r="X59" s="54" t="s">
        <v>48</v>
      </c>
      <c r="Y59" s="55">
        <v>0</v>
      </c>
    </row>
    <row r="60" spans="1:25" x14ac:dyDescent="0.3">
      <c r="A60" s="13">
        <v>59</v>
      </c>
      <c r="B60" s="1">
        <v>12</v>
      </c>
      <c r="C60" s="1" t="s">
        <v>27</v>
      </c>
      <c r="D60" s="1" t="s">
        <v>29</v>
      </c>
      <c r="E60" s="1"/>
      <c r="F60" s="3">
        <v>32</v>
      </c>
      <c r="G60" s="1">
        <v>149</v>
      </c>
      <c r="H60" s="35">
        <f t="shared" si="0"/>
        <v>0.21476510067114093</v>
      </c>
      <c r="I60" s="4">
        <v>82</v>
      </c>
      <c r="J60" s="5">
        <v>100</v>
      </c>
      <c r="K60" s="5">
        <v>50</v>
      </c>
      <c r="L60" s="4">
        <v>24</v>
      </c>
      <c r="M60" s="1"/>
      <c r="N60" s="6">
        <v>9</v>
      </c>
      <c r="O60" s="1">
        <v>15</v>
      </c>
      <c r="P60" s="1"/>
      <c r="Q60" s="1" t="s">
        <v>24</v>
      </c>
      <c r="R60" s="1" t="s">
        <v>19</v>
      </c>
      <c r="S60" s="1" t="s">
        <v>25</v>
      </c>
      <c r="T60" s="54">
        <v>128104.37</v>
      </c>
      <c r="U60" s="54">
        <v>6</v>
      </c>
      <c r="V60" s="54">
        <v>2</v>
      </c>
      <c r="W60" s="54">
        <v>4</v>
      </c>
      <c r="X60" s="54" t="s">
        <v>48</v>
      </c>
      <c r="Y60" s="55">
        <v>0</v>
      </c>
    </row>
    <row r="61" spans="1:25" x14ac:dyDescent="0.3">
      <c r="A61" s="13">
        <v>60</v>
      </c>
      <c r="B61" s="1">
        <v>10</v>
      </c>
      <c r="C61" s="1" t="s">
        <v>27</v>
      </c>
      <c r="D61" s="1" t="s">
        <v>29</v>
      </c>
      <c r="E61" s="1"/>
      <c r="F61" s="3">
        <v>23</v>
      </c>
      <c r="G61" s="1">
        <v>137</v>
      </c>
      <c r="H61" s="35">
        <f t="shared" si="0"/>
        <v>0.16788321167883211</v>
      </c>
      <c r="I61" s="4">
        <v>90</v>
      </c>
      <c r="J61" s="5">
        <v>90</v>
      </c>
      <c r="K61" s="5">
        <v>60</v>
      </c>
      <c r="L61" s="4">
        <v>22</v>
      </c>
      <c r="M61" s="1"/>
      <c r="N61" s="6">
        <v>11</v>
      </c>
      <c r="O61" s="1">
        <v>18</v>
      </c>
      <c r="P61" s="1"/>
      <c r="Q61" s="1" t="s">
        <v>24</v>
      </c>
      <c r="R61" s="1" t="s">
        <v>19</v>
      </c>
      <c r="S61" s="1" t="s">
        <v>25</v>
      </c>
      <c r="T61" s="54">
        <v>115908</v>
      </c>
      <c r="U61" s="54">
        <v>9</v>
      </c>
      <c r="V61" s="54">
        <v>1</v>
      </c>
      <c r="W61" s="54">
        <v>8</v>
      </c>
      <c r="X61" s="54" t="s">
        <v>48</v>
      </c>
      <c r="Y61" s="55">
        <v>0</v>
      </c>
    </row>
    <row r="62" spans="1:25" x14ac:dyDescent="0.3">
      <c r="A62" s="13">
        <v>61</v>
      </c>
      <c r="B62" s="1">
        <v>14</v>
      </c>
      <c r="C62" s="1" t="s">
        <v>27</v>
      </c>
      <c r="D62" s="1" t="s">
        <v>29</v>
      </c>
      <c r="E62" s="1"/>
      <c r="F62" s="3">
        <v>49</v>
      </c>
      <c r="G62" s="1">
        <v>149</v>
      </c>
      <c r="H62" s="35">
        <f t="shared" si="0"/>
        <v>0.32885906040268459</v>
      </c>
      <c r="I62" s="4">
        <v>111</v>
      </c>
      <c r="J62" s="5">
        <v>100</v>
      </c>
      <c r="K62" s="5">
        <v>80</v>
      </c>
      <c r="L62" s="4">
        <v>26</v>
      </c>
      <c r="M62" s="1"/>
      <c r="N62" s="6">
        <v>12</v>
      </c>
      <c r="O62" s="1">
        <v>33</v>
      </c>
      <c r="P62" s="1"/>
      <c r="Q62" s="1" t="s">
        <v>24</v>
      </c>
      <c r="R62" s="1" t="s">
        <v>19</v>
      </c>
      <c r="S62" s="1" t="s">
        <v>25</v>
      </c>
      <c r="T62" s="54">
        <v>129474.64</v>
      </c>
      <c r="U62" s="54">
        <v>7</v>
      </c>
      <c r="V62" s="54">
        <v>3</v>
      </c>
      <c r="W62" s="54">
        <v>4</v>
      </c>
      <c r="X62" s="54" t="s">
        <v>48</v>
      </c>
      <c r="Y62" s="55">
        <v>0</v>
      </c>
    </row>
    <row r="63" spans="1:25" x14ac:dyDescent="0.3">
      <c r="A63" s="13">
        <v>62</v>
      </c>
      <c r="B63" s="1">
        <v>7</v>
      </c>
      <c r="C63" s="1" t="s">
        <v>14</v>
      </c>
      <c r="D63" s="1" t="s">
        <v>29</v>
      </c>
      <c r="E63" s="1"/>
      <c r="F63" s="3">
        <v>19</v>
      </c>
      <c r="G63" s="1">
        <v>107</v>
      </c>
      <c r="H63" s="35">
        <f t="shared" si="0"/>
        <v>0.17757009345794392</v>
      </c>
      <c r="I63" s="4">
        <v>100</v>
      </c>
      <c r="J63" s="5">
        <v>103</v>
      </c>
      <c r="K63" s="5">
        <v>76</v>
      </c>
      <c r="L63" s="4">
        <v>26</v>
      </c>
      <c r="M63" s="1"/>
      <c r="N63" s="6">
        <v>14</v>
      </c>
      <c r="O63" s="1">
        <v>17</v>
      </c>
      <c r="P63" s="1"/>
      <c r="Q63" s="1" t="s">
        <v>24</v>
      </c>
      <c r="R63" s="1" t="s">
        <v>19</v>
      </c>
      <c r="S63" s="1" t="s">
        <v>25</v>
      </c>
      <c r="T63" s="54">
        <v>152184</v>
      </c>
      <c r="U63" s="54">
        <v>10</v>
      </c>
      <c r="V63" s="54">
        <v>2</v>
      </c>
      <c r="W63" s="54">
        <v>8</v>
      </c>
      <c r="X63" s="54" t="s">
        <v>48</v>
      </c>
      <c r="Y63" s="55">
        <v>0</v>
      </c>
    </row>
    <row r="64" spans="1:25" x14ac:dyDescent="0.3">
      <c r="A64" s="13">
        <v>63</v>
      </c>
      <c r="B64" s="1">
        <v>13</v>
      </c>
      <c r="C64" s="1" t="s">
        <v>14</v>
      </c>
      <c r="D64" s="1" t="s">
        <v>29</v>
      </c>
      <c r="E64" s="1"/>
      <c r="F64" s="3">
        <v>22</v>
      </c>
      <c r="G64" s="1">
        <v>133</v>
      </c>
      <c r="H64" s="35">
        <f t="shared" si="0"/>
        <v>0.16541353383458646</v>
      </c>
      <c r="I64" s="4">
        <v>90</v>
      </c>
      <c r="J64" s="5">
        <v>110</v>
      </c>
      <c r="K64" s="5">
        <v>60</v>
      </c>
      <c r="L64" s="4">
        <v>32</v>
      </c>
      <c r="M64" s="1"/>
      <c r="N64" s="6">
        <v>11</v>
      </c>
      <c r="O64" s="1">
        <v>18</v>
      </c>
      <c r="P64" s="1">
        <v>1</v>
      </c>
      <c r="Q64" s="1" t="s">
        <v>24</v>
      </c>
      <c r="R64" s="1" t="s">
        <v>19</v>
      </c>
      <c r="S64" s="1" t="s">
        <v>25</v>
      </c>
      <c r="T64" s="54">
        <v>122892</v>
      </c>
      <c r="U64" s="54">
        <v>9</v>
      </c>
      <c r="V64" s="54">
        <v>1</v>
      </c>
      <c r="W64" s="54">
        <v>8</v>
      </c>
      <c r="X64" s="54" t="s">
        <v>48</v>
      </c>
      <c r="Y64" s="55">
        <v>0</v>
      </c>
    </row>
    <row r="65" spans="1:25" x14ac:dyDescent="0.3">
      <c r="A65" s="13">
        <v>64</v>
      </c>
      <c r="B65" s="1">
        <v>12</v>
      </c>
      <c r="C65" s="1" t="s">
        <v>27</v>
      </c>
      <c r="D65" s="1" t="s">
        <v>29</v>
      </c>
      <c r="E65" s="1" t="s">
        <v>16</v>
      </c>
      <c r="F65" s="3">
        <v>35</v>
      </c>
      <c r="G65" s="1">
        <v>140</v>
      </c>
      <c r="H65" s="35">
        <f t="shared" si="0"/>
        <v>0.25</v>
      </c>
      <c r="I65" s="4">
        <v>102</v>
      </c>
      <c r="J65" s="5">
        <v>100</v>
      </c>
      <c r="K65" s="5">
        <v>70</v>
      </c>
      <c r="L65" s="4">
        <v>26</v>
      </c>
      <c r="M65" s="1"/>
      <c r="N65" s="6">
        <v>13</v>
      </c>
      <c r="O65" s="1">
        <v>18</v>
      </c>
      <c r="P65" s="1"/>
      <c r="Q65" s="1" t="s">
        <v>24</v>
      </c>
      <c r="R65" s="1" t="s">
        <v>19</v>
      </c>
      <c r="S65" s="1" t="s">
        <v>25</v>
      </c>
      <c r="T65" s="54">
        <v>124804</v>
      </c>
      <c r="U65" s="54">
        <v>9</v>
      </c>
      <c r="V65" s="54">
        <v>1</v>
      </c>
      <c r="W65" s="54">
        <v>8</v>
      </c>
      <c r="X65" s="54" t="s">
        <v>48</v>
      </c>
      <c r="Y65" s="55">
        <v>0</v>
      </c>
    </row>
    <row r="66" spans="1:25" x14ac:dyDescent="0.3">
      <c r="A66" s="13">
        <v>65</v>
      </c>
      <c r="B66" s="1">
        <v>11</v>
      </c>
      <c r="C66" s="1" t="s">
        <v>14</v>
      </c>
      <c r="D66" s="1" t="s">
        <v>29</v>
      </c>
      <c r="E66" s="1"/>
      <c r="F66" s="3">
        <v>26</v>
      </c>
      <c r="G66" s="1">
        <v>140</v>
      </c>
      <c r="H66" s="35">
        <f t="shared" si="0"/>
        <v>0.18571428571428572</v>
      </c>
      <c r="I66" s="4">
        <v>90</v>
      </c>
      <c r="J66" s="5"/>
      <c r="K66" s="5"/>
      <c r="L66" s="4">
        <v>20</v>
      </c>
      <c r="M66" s="1"/>
      <c r="N66" s="6">
        <v>12</v>
      </c>
      <c r="O66" s="1">
        <v>18</v>
      </c>
      <c r="P66" s="1">
        <v>1</v>
      </c>
      <c r="Q66" s="1" t="s">
        <v>24</v>
      </c>
      <c r="R66" s="1" t="s">
        <v>19</v>
      </c>
      <c r="S66" s="1" t="s">
        <v>25</v>
      </c>
      <c r="T66" s="54">
        <v>142552</v>
      </c>
      <c r="U66" s="54">
        <v>8</v>
      </c>
      <c r="V66" s="54">
        <v>1</v>
      </c>
      <c r="W66" s="54">
        <v>7</v>
      </c>
      <c r="X66" s="54" t="s">
        <v>48</v>
      </c>
      <c r="Y66" s="55">
        <v>0</v>
      </c>
    </row>
    <row r="67" spans="1:25" ht="26.4" x14ac:dyDescent="0.3">
      <c r="A67" s="13">
        <v>66</v>
      </c>
      <c r="B67" s="1">
        <v>5</v>
      </c>
      <c r="C67" s="1" t="s">
        <v>14</v>
      </c>
      <c r="D67" s="1" t="s">
        <v>29</v>
      </c>
      <c r="E67" s="1" t="s">
        <v>34</v>
      </c>
      <c r="F67" s="3">
        <v>15</v>
      </c>
      <c r="G67" s="1">
        <v>105</v>
      </c>
      <c r="H67" s="35">
        <f t="shared" ref="H67:H130" si="1">F67/G67</f>
        <v>0.14285714285714285</v>
      </c>
      <c r="I67" s="4">
        <v>115</v>
      </c>
      <c r="J67" s="5">
        <v>113</v>
      </c>
      <c r="K67" s="5">
        <v>70</v>
      </c>
      <c r="L67" s="4">
        <v>26</v>
      </c>
      <c r="M67" s="1"/>
      <c r="N67" s="6">
        <v>10</v>
      </c>
      <c r="O67" s="1">
        <v>16</v>
      </c>
      <c r="P67" s="1"/>
      <c r="Q67" s="1" t="s">
        <v>24</v>
      </c>
      <c r="R67" s="1" t="s">
        <v>19</v>
      </c>
      <c r="S67" s="1" t="s">
        <v>25</v>
      </c>
      <c r="T67" s="54">
        <v>128196</v>
      </c>
      <c r="U67" s="54">
        <v>7</v>
      </c>
      <c r="V67" s="54">
        <v>1</v>
      </c>
      <c r="W67" s="54">
        <v>6</v>
      </c>
      <c r="X67" s="54" t="s">
        <v>48</v>
      </c>
      <c r="Y67" s="55">
        <v>0</v>
      </c>
    </row>
    <row r="68" spans="1:25" x14ac:dyDescent="0.3">
      <c r="A68" s="13">
        <v>67</v>
      </c>
      <c r="B68" s="1">
        <v>33</v>
      </c>
      <c r="C68" s="1" t="s">
        <v>27</v>
      </c>
      <c r="D68" s="1" t="s">
        <v>15</v>
      </c>
      <c r="E68" s="1"/>
      <c r="F68" s="3">
        <v>63</v>
      </c>
      <c r="G68" s="1">
        <v>147</v>
      </c>
      <c r="H68" s="35">
        <f t="shared" si="1"/>
        <v>0.42857142857142855</v>
      </c>
      <c r="I68" s="4">
        <v>68</v>
      </c>
      <c r="J68" s="5">
        <v>120</v>
      </c>
      <c r="K68" s="5">
        <v>80</v>
      </c>
      <c r="L68" s="4">
        <v>24</v>
      </c>
      <c r="M68" s="1"/>
      <c r="N68" s="6">
        <v>13</v>
      </c>
      <c r="O68" s="1">
        <v>17</v>
      </c>
      <c r="P68" s="1">
        <v>1</v>
      </c>
      <c r="Q68" s="1" t="s">
        <v>18</v>
      </c>
      <c r="R68" s="1" t="s">
        <v>19</v>
      </c>
      <c r="S68" s="1" t="s">
        <v>20</v>
      </c>
      <c r="T68" s="54">
        <v>109085.84</v>
      </c>
      <c r="U68" s="54">
        <v>8</v>
      </c>
      <c r="V68" s="54">
        <v>1</v>
      </c>
      <c r="W68" s="54">
        <v>7</v>
      </c>
      <c r="X68" s="54" t="s">
        <v>48</v>
      </c>
      <c r="Y68" s="55">
        <v>0</v>
      </c>
    </row>
    <row r="69" spans="1:25" x14ac:dyDescent="0.3">
      <c r="A69" s="13">
        <v>68</v>
      </c>
      <c r="B69" s="1">
        <v>21</v>
      </c>
      <c r="C69" s="1" t="s">
        <v>27</v>
      </c>
      <c r="D69" s="1" t="s">
        <v>29</v>
      </c>
      <c r="E69" s="1"/>
      <c r="F69" s="3">
        <v>51</v>
      </c>
      <c r="G69" s="1">
        <v>153</v>
      </c>
      <c r="H69" s="35">
        <f t="shared" si="1"/>
        <v>0.33333333333333331</v>
      </c>
      <c r="I69" s="4">
        <v>74</v>
      </c>
      <c r="J69" s="5">
        <v>110</v>
      </c>
      <c r="K69" s="5">
        <v>70</v>
      </c>
      <c r="L69" s="4">
        <v>24</v>
      </c>
      <c r="M69" s="1"/>
      <c r="N69" s="6">
        <v>12</v>
      </c>
      <c r="O69" s="1">
        <v>25</v>
      </c>
      <c r="P69" s="1">
        <v>1</v>
      </c>
      <c r="Q69" s="1" t="s">
        <v>24</v>
      </c>
      <c r="R69" s="1" t="s">
        <v>19</v>
      </c>
      <c r="S69" s="1" t="s">
        <v>25</v>
      </c>
      <c r="T69" s="54">
        <v>109452</v>
      </c>
      <c r="U69" s="54">
        <v>6</v>
      </c>
      <c r="V69" s="54">
        <v>1</v>
      </c>
      <c r="W69" s="54">
        <v>5</v>
      </c>
      <c r="X69" s="54" t="s">
        <v>48</v>
      </c>
      <c r="Y69" s="55">
        <v>0</v>
      </c>
    </row>
    <row r="70" spans="1:25" ht="26.4" x14ac:dyDescent="0.3">
      <c r="A70" s="13">
        <v>69</v>
      </c>
      <c r="B70" s="1">
        <v>3</v>
      </c>
      <c r="C70" s="1" t="s">
        <v>14</v>
      </c>
      <c r="D70" s="1" t="s">
        <v>29</v>
      </c>
      <c r="E70" s="1" t="s">
        <v>34</v>
      </c>
      <c r="F70" s="3">
        <v>13</v>
      </c>
      <c r="G70" s="1">
        <v>85</v>
      </c>
      <c r="H70" s="35">
        <f t="shared" si="1"/>
        <v>0.15294117647058825</v>
      </c>
      <c r="I70" s="4">
        <v>120</v>
      </c>
      <c r="J70" s="5">
        <v>120</v>
      </c>
      <c r="K70" s="5">
        <v>80</v>
      </c>
      <c r="L70" s="4">
        <v>24</v>
      </c>
      <c r="M70" s="1"/>
      <c r="N70" s="6">
        <v>12</v>
      </c>
      <c r="O70" s="1">
        <v>27</v>
      </c>
      <c r="P70" s="1"/>
      <c r="Q70" s="1" t="s">
        <v>24</v>
      </c>
      <c r="R70" s="1" t="s">
        <v>19</v>
      </c>
      <c r="S70" s="1" t="s">
        <v>25</v>
      </c>
      <c r="T70" s="54">
        <v>125643</v>
      </c>
      <c r="U70" s="54">
        <v>9</v>
      </c>
      <c r="V70" s="54">
        <v>1</v>
      </c>
      <c r="W70" s="54">
        <v>8</v>
      </c>
      <c r="X70" s="54" t="s">
        <v>48</v>
      </c>
      <c r="Y70" s="55">
        <v>0</v>
      </c>
    </row>
    <row r="71" spans="1:25" x14ac:dyDescent="0.3">
      <c r="A71" s="13">
        <v>70</v>
      </c>
      <c r="B71" s="1">
        <v>12</v>
      </c>
      <c r="C71" s="1" t="s">
        <v>14</v>
      </c>
      <c r="D71" s="1" t="s">
        <v>29</v>
      </c>
      <c r="E71" s="1"/>
      <c r="F71" s="3">
        <v>25</v>
      </c>
      <c r="G71" s="1">
        <v>134</v>
      </c>
      <c r="H71" s="35">
        <f t="shared" si="1"/>
        <v>0.18656716417910449</v>
      </c>
      <c r="I71" s="4">
        <v>92</v>
      </c>
      <c r="J71" s="5">
        <v>110</v>
      </c>
      <c r="K71" s="5">
        <v>56</v>
      </c>
      <c r="L71" s="4">
        <v>24</v>
      </c>
      <c r="M71" s="1"/>
      <c r="N71" s="6">
        <v>11</v>
      </c>
      <c r="O71" s="1">
        <v>17</v>
      </c>
      <c r="P71" s="1">
        <v>1</v>
      </c>
      <c r="Q71" s="1" t="s">
        <v>24</v>
      </c>
      <c r="R71" s="1" t="s">
        <v>19</v>
      </c>
      <c r="S71" s="1" t="s">
        <v>25</v>
      </c>
      <c r="T71" s="54">
        <v>120064</v>
      </c>
      <c r="U71" s="54">
        <v>6</v>
      </c>
      <c r="V71" s="54">
        <v>1</v>
      </c>
      <c r="W71" s="54">
        <v>5</v>
      </c>
      <c r="X71" s="54" t="s">
        <v>48</v>
      </c>
      <c r="Y71" s="55">
        <v>0</v>
      </c>
    </row>
    <row r="72" spans="1:25" x14ac:dyDescent="0.3">
      <c r="A72" s="13">
        <v>71</v>
      </c>
      <c r="B72" s="1">
        <v>12</v>
      </c>
      <c r="C72" s="1" t="s">
        <v>14</v>
      </c>
      <c r="D72" s="1" t="s">
        <v>29</v>
      </c>
      <c r="E72" s="1"/>
      <c r="F72" s="3">
        <v>27</v>
      </c>
      <c r="G72" s="1">
        <v>144</v>
      </c>
      <c r="H72" s="35">
        <f t="shared" si="1"/>
        <v>0.1875</v>
      </c>
      <c r="I72" s="4">
        <v>72</v>
      </c>
      <c r="J72" s="5">
        <v>100</v>
      </c>
      <c r="K72" s="5">
        <v>60</v>
      </c>
      <c r="L72" s="4">
        <v>22</v>
      </c>
      <c r="M72" s="1"/>
      <c r="N72" s="6">
        <v>12</v>
      </c>
      <c r="O72" s="1">
        <v>18</v>
      </c>
      <c r="P72" s="1">
        <v>1</v>
      </c>
      <c r="Q72" s="1" t="s">
        <v>24</v>
      </c>
      <c r="R72" s="1" t="s">
        <v>19</v>
      </c>
      <c r="S72" s="1" t="s">
        <v>25</v>
      </c>
      <c r="T72" s="54">
        <v>114580</v>
      </c>
      <c r="U72" s="54">
        <v>7</v>
      </c>
      <c r="V72" s="54">
        <v>1</v>
      </c>
      <c r="W72" s="54">
        <v>6</v>
      </c>
      <c r="X72" s="54" t="s">
        <v>48</v>
      </c>
      <c r="Y72" s="55">
        <v>0</v>
      </c>
    </row>
    <row r="73" spans="1:25" ht="26.4" x14ac:dyDescent="0.3">
      <c r="A73" s="13">
        <v>72</v>
      </c>
      <c r="B73" s="1">
        <v>5</v>
      </c>
      <c r="C73" s="1" t="s">
        <v>27</v>
      </c>
      <c r="D73" s="1" t="s">
        <v>29</v>
      </c>
      <c r="E73" s="1" t="s">
        <v>34</v>
      </c>
      <c r="F73" s="3">
        <v>15</v>
      </c>
      <c r="G73" s="1">
        <v>117</v>
      </c>
      <c r="H73" s="35">
        <f t="shared" si="1"/>
        <v>0.12820512820512819</v>
      </c>
      <c r="I73" s="4">
        <v>80</v>
      </c>
      <c r="J73" s="5">
        <v>110</v>
      </c>
      <c r="K73" s="5">
        <v>80</v>
      </c>
      <c r="L73" s="4">
        <v>24</v>
      </c>
      <c r="M73" s="1"/>
      <c r="N73" s="6">
        <v>11</v>
      </c>
      <c r="O73" s="1">
        <v>25</v>
      </c>
      <c r="P73" s="1"/>
      <c r="Q73" s="1" t="s">
        <v>24</v>
      </c>
      <c r="R73" s="1" t="s">
        <v>19</v>
      </c>
      <c r="S73" s="1" t="s">
        <v>25</v>
      </c>
      <c r="T73" s="54">
        <v>119935.36</v>
      </c>
      <c r="U73" s="54">
        <v>7</v>
      </c>
      <c r="V73" s="54">
        <v>1</v>
      </c>
      <c r="W73" s="54">
        <v>6</v>
      </c>
      <c r="X73" s="54" t="s">
        <v>48</v>
      </c>
      <c r="Y73" s="55">
        <v>0</v>
      </c>
    </row>
    <row r="74" spans="1:25" x14ac:dyDescent="0.3">
      <c r="A74" s="13">
        <v>73</v>
      </c>
      <c r="B74" s="1">
        <v>14</v>
      </c>
      <c r="C74" s="1" t="s">
        <v>27</v>
      </c>
      <c r="D74" s="1" t="s">
        <v>29</v>
      </c>
      <c r="E74" s="1"/>
      <c r="F74" s="3">
        <v>49</v>
      </c>
      <c r="G74" s="1">
        <v>149</v>
      </c>
      <c r="H74" s="35">
        <f t="shared" si="1"/>
        <v>0.32885906040268459</v>
      </c>
      <c r="I74" s="4">
        <v>111</v>
      </c>
      <c r="J74" s="5">
        <v>100</v>
      </c>
      <c r="K74" s="5">
        <v>80</v>
      </c>
      <c r="L74" s="4">
        <v>26</v>
      </c>
      <c r="M74" s="1"/>
      <c r="N74" s="6">
        <v>12</v>
      </c>
      <c r="O74" s="1">
        <v>33</v>
      </c>
      <c r="P74" s="1"/>
      <c r="Q74" s="1" t="s">
        <v>24</v>
      </c>
      <c r="R74" s="1" t="s">
        <v>19</v>
      </c>
      <c r="S74" s="1" t="s">
        <v>25</v>
      </c>
      <c r="T74" s="54">
        <v>129474.64</v>
      </c>
      <c r="U74" s="54">
        <v>7</v>
      </c>
      <c r="V74" s="54">
        <v>3</v>
      </c>
      <c r="W74" s="54">
        <v>4</v>
      </c>
      <c r="X74" s="54" t="s">
        <v>48</v>
      </c>
      <c r="Y74" s="55">
        <v>0</v>
      </c>
    </row>
    <row r="75" spans="1:25" x14ac:dyDescent="0.3">
      <c r="A75" s="13">
        <v>74</v>
      </c>
      <c r="B75" s="1">
        <v>7</v>
      </c>
      <c r="C75" s="1" t="s">
        <v>14</v>
      </c>
      <c r="D75" s="1" t="s">
        <v>29</v>
      </c>
      <c r="E75" s="1"/>
      <c r="F75" s="3">
        <v>19</v>
      </c>
      <c r="G75" s="1">
        <v>107</v>
      </c>
      <c r="H75" s="35">
        <f t="shared" si="1"/>
        <v>0.17757009345794392</v>
      </c>
      <c r="I75" s="4">
        <v>100</v>
      </c>
      <c r="J75" s="5">
        <v>103</v>
      </c>
      <c r="K75" s="5">
        <v>76</v>
      </c>
      <c r="L75" s="4">
        <v>26</v>
      </c>
      <c r="M75" s="1"/>
      <c r="N75" s="6">
        <v>14</v>
      </c>
      <c r="O75" s="1">
        <v>17</v>
      </c>
      <c r="P75" s="1"/>
      <c r="Q75" s="1" t="s">
        <v>24</v>
      </c>
      <c r="R75" s="1" t="s">
        <v>19</v>
      </c>
      <c r="S75" s="1" t="s">
        <v>25</v>
      </c>
      <c r="T75" s="54">
        <v>152184</v>
      </c>
      <c r="U75" s="54">
        <v>10</v>
      </c>
      <c r="V75" s="54">
        <v>2</v>
      </c>
      <c r="W75" s="54">
        <v>8</v>
      </c>
      <c r="X75" s="54" t="s">
        <v>48</v>
      </c>
      <c r="Y75" s="55">
        <v>0</v>
      </c>
    </row>
    <row r="76" spans="1:25" x14ac:dyDescent="0.3">
      <c r="A76" s="13">
        <v>75</v>
      </c>
      <c r="B76" s="1">
        <v>13</v>
      </c>
      <c r="C76" s="1" t="s">
        <v>14</v>
      </c>
      <c r="D76" s="1" t="s">
        <v>29</v>
      </c>
      <c r="E76" s="1"/>
      <c r="F76" s="3">
        <v>22</v>
      </c>
      <c r="G76" s="1">
        <v>133</v>
      </c>
      <c r="H76" s="35">
        <f t="shared" si="1"/>
        <v>0.16541353383458646</v>
      </c>
      <c r="I76" s="4">
        <v>90</v>
      </c>
      <c r="J76" s="5">
        <v>110</v>
      </c>
      <c r="K76" s="5">
        <v>60</v>
      </c>
      <c r="L76" s="4">
        <v>32</v>
      </c>
      <c r="M76" s="1"/>
      <c r="N76" s="6">
        <v>11</v>
      </c>
      <c r="O76" s="1">
        <v>18</v>
      </c>
      <c r="P76" s="1">
        <v>1</v>
      </c>
      <c r="Q76" s="1" t="s">
        <v>24</v>
      </c>
      <c r="R76" s="1" t="s">
        <v>19</v>
      </c>
      <c r="S76" s="1" t="s">
        <v>25</v>
      </c>
      <c r="T76" s="54">
        <v>122892</v>
      </c>
      <c r="U76" s="54">
        <v>9</v>
      </c>
      <c r="V76" s="54">
        <v>1</v>
      </c>
      <c r="W76" s="54">
        <v>8</v>
      </c>
      <c r="X76" s="54" t="s">
        <v>48</v>
      </c>
      <c r="Y76" s="55">
        <v>0</v>
      </c>
    </row>
    <row r="77" spans="1:25" ht="26.4" x14ac:dyDescent="0.3">
      <c r="A77" s="13">
        <v>76</v>
      </c>
      <c r="B77" s="1">
        <v>5</v>
      </c>
      <c r="C77" s="1" t="s">
        <v>14</v>
      </c>
      <c r="D77" s="1" t="s">
        <v>29</v>
      </c>
      <c r="E77" s="1" t="s">
        <v>34</v>
      </c>
      <c r="F77" s="3">
        <v>15</v>
      </c>
      <c r="G77" s="1">
        <v>105</v>
      </c>
      <c r="H77" s="35">
        <f t="shared" si="1"/>
        <v>0.14285714285714285</v>
      </c>
      <c r="I77" s="4">
        <v>115</v>
      </c>
      <c r="J77" s="5">
        <v>113</v>
      </c>
      <c r="K77" s="5">
        <v>70</v>
      </c>
      <c r="L77" s="4">
        <v>26</v>
      </c>
      <c r="M77" s="1"/>
      <c r="N77" s="6">
        <v>10</v>
      </c>
      <c r="O77" s="1">
        <v>16</v>
      </c>
      <c r="P77" s="1"/>
      <c r="Q77" s="1" t="s">
        <v>24</v>
      </c>
      <c r="R77" s="1" t="s">
        <v>19</v>
      </c>
      <c r="S77" s="1" t="s">
        <v>25</v>
      </c>
      <c r="T77" s="54">
        <v>128196</v>
      </c>
      <c r="U77" s="54">
        <v>7</v>
      </c>
      <c r="V77" s="54">
        <v>1</v>
      </c>
      <c r="W77" s="54">
        <v>6</v>
      </c>
      <c r="X77" s="54" t="s">
        <v>48</v>
      </c>
      <c r="Y77" s="55">
        <v>0</v>
      </c>
    </row>
    <row r="78" spans="1:25" x14ac:dyDescent="0.3">
      <c r="A78" s="13">
        <v>77</v>
      </c>
      <c r="B78" s="1">
        <v>33</v>
      </c>
      <c r="C78" s="1" t="s">
        <v>27</v>
      </c>
      <c r="D78" s="1" t="s">
        <v>15</v>
      </c>
      <c r="E78" s="1"/>
      <c r="F78" s="3">
        <v>63</v>
      </c>
      <c r="G78" s="1">
        <v>147</v>
      </c>
      <c r="H78" s="35">
        <f t="shared" si="1"/>
        <v>0.42857142857142855</v>
      </c>
      <c r="I78" s="4">
        <v>68</v>
      </c>
      <c r="J78" s="5">
        <v>120</v>
      </c>
      <c r="K78" s="5">
        <v>80</v>
      </c>
      <c r="L78" s="4">
        <v>24</v>
      </c>
      <c r="M78" s="1"/>
      <c r="N78" s="6">
        <v>13</v>
      </c>
      <c r="O78" s="1">
        <v>17</v>
      </c>
      <c r="P78" s="1">
        <v>1</v>
      </c>
      <c r="Q78" s="1" t="s">
        <v>18</v>
      </c>
      <c r="R78" s="1" t="s">
        <v>19</v>
      </c>
      <c r="S78" s="1" t="s">
        <v>20</v>
      </c>
      <c r="T78" s="54">
        <v>109085.84</v>
      </c>
      <c r="U78" s="54">
        <v>8</v>
      </c>
      <c r="V78" s="54">
        <v>1</v>
      </c>
      <c r="W78" s="54">
        <v>7</v>
      </c>
      <c r="X78" s="54" t="s">
        <v>48</v>
      </c>
      <c r="Y78" s="55">
        <v>0</v>
      </c>
    </row>
    <row r="79" spans="1:25" ht="26.4" x14ac:dyDescent="0.3">
      <c r="A79" s="13">
        <v>78</v>
      </c>
      <c r="B79" s="1">
        <v>3</v>
      </c>
      <c r="C79" s="1" t="s">
        <v>14</v>
      </c>
      <c r="D79" s="1" t="s">
        <v>29</v>
      </c>
      <c r="E79" s="1" t="s">
        <v>34</v>
      </c>
      <c r="F79" s="3">
        <v>13</v>
      </c>
      <c r="G79" s="1">
        <v>84</v>
      </c>
      <c r="H79" s="35">
        <f t="shared" si="1"/>
        <v>0.15476190476190477</v>
      </c>
      <c r="I79" s="4">
        <v>120</v>
      </c>
      <c r="J79" s="5">
        <v>120</v>
      </c>
      <c r="K79" s="5">
        <v>80</v>
      </c>
      <c r="L79" s="4">
        <v>24</v>
      </c>
      <c r="M79" s="1"/>
      <c r="N79" s="6">
        <v>12</v>
      </c>
      <c r="O79" s="1">
        <v>27</v>
      </c>
      <c r="P79" s="1"/>
      <c r="Q79" s="1" t="s">
        <v>24</v>
      </c>
      <c r="R79" s="1" t="s">
        <v>19</v>
      </c>
      <c r="S79" s="1" t="s">
        <v>25</v>
      </c>
      <c r="T79" s="54">
        <v>125643</v>
      </c>
      <c r="U79" s="54">
        <v>9</v>
      </c>
      <c r="V79" s="54">
        <v>1</v>
      </c>
      <c r="W79" s="54">
        <v>8</v>
      </c>
      <c r="X79" s="54" t="s">
        <v>48</v>
      </c>
      <c r="Y79" s="55">
        <v>0</v>
      </c>
    </row>
    <row r="80" spans="1:25" x14ac:dyDescent="0.3">
      <c r="A80" s="13">
        <v>79</v>
      </c>
      <c r="B80" s="1">
        <v>12</v>
      </c>
      <c r="C80" s="1" t="s">
        <v>14</v>
      </c>
      <c r="D80" s="1" t="s">
        <v>29</v>
      </c>
      <c r="E80" s="1"/>
      <c r="F80" s="3">
        <v>25</v>
      </c>
      <c r="G80" s="1">
        <v>134</v>
      </c>
      <c r="H80" s="35">
        <f t="shared" si="1"/>
        <v>0.18656716417910449</v>
      </c>
      <c r="I80" s="4">
        <v>92</v>
      </c>
      <c r="J80" s="5">
        <v>110</v>
      </c>
      <c r="K80" s="5">
        <v>56</v>
      </c>
      <c r="L80" s="4">
        <v>24</v>
      </c>
      <c r="M80" s="1"/>
      <c r="N80" s="6">
        <v>11</v>
      </c>
      <c r="O80" s="1">
        <v>17</v>
      </c>
      <c r="P80" s="1">
        <v>1</v>
      </c>
      <c r="Q80" s="1" t="s">
        <v>24</v>
      </c>
      <c r="R80" s="1" t="s">
        <v>19</v>
      </c>
      <c r="S80" s="1" t="s">
        <v>25</v>
      </c>
      <c r="T80" s="54">
        <v>120064</v>
      </c>
      <c r="U80" s="54">
        <v>6</v>
      </c>
      <c r="V80" s="54">
        <v>1</v>
      </c>
      <c r="W80" s="54">
        <v>5</v>
      </c>
      <c r="X80" s="54" t="s">
        <v>48</v>
      </c>
      <c r="Y80" s="55">
        <v>0</v>
      </c>
    </row>
    <row r="81" spans="1:25" x14ac:dyDescent="0.3">
      <c r="A81" s="13">
        <v>80</v>
      </c>
      <c r="B81" s="1">
        <v>12</v>
      </c>
      <c r="C81" s="1" t="s">
        <v>14</v>
      </c>
      <c r="D81" s="1" t="s">
        <v>29</v>
      </c>
      <c r="E81" s="1"/>
      <c r="F81" s="3">
        <v>27</v>
      </c>
      <c r="G81" s="1">
        <v>144</v>
      </c>
      <c r="H81" s="35">
        <f t="shared" si="1"/>
        <v>0.1875</v>
      </c>
      <c r="I81" s="4">
        <v>72</v>
      </c>
      <c r="J81" s="5">
        <v>100</v>
      </c>
      <c r="K81" s="5">
        <v>60</v>
      </c>
      <c r="L81" s="4">
        <v>22</v>
      </c>
      <c r="M81" s="1"/>
      <c r="N81" s="6">
        <v>12</v>
      </c>
      <c r="O81" s="1">
        <v>18</v>
      </c>
      <c r="P81" s="1">
        <v>1</v>
      </c>
      <c r="Q81" s="1" t="s">
        <v>24</v>
      </c>
      <c r="R81" s="1" t="s">
        <v>19</v>
      </c>
      <c r="S81" s="1" t="s">
        <v>25</v>
      </c>
      <c r="T81" s="54">
        <v>114580</v>
      </c>
      <c r="U81" s="54">
        <v>7</v>
      </c>
      <c r="V81" s="54">
        <v>1</v>
      </c>
      <c r="W81" s="54">
        <v>6</v>
      </c>
      <c r="X81" s="54" t="s">
        <v>48</v>
      </c>
      <c r="Y81" s="55">
        <v>0</v>
      </c>
    </row>
    <row r="82" spans="1:25" ht="26.4" x14ac:dyDescent="0.3">
      <c r="A82" s="13">
        <v>81</v>
      </c>
      <c r="B82" s="1">
        <v>5</v>
      </c>
      <c r="C82" s="1" t="s">
        <v>27</v>
      </c>
      <c r="D82" s="1" t="s">
        <v>29</v>
      </c>
      <c r="E82" s="1" t="s">
        <v>34</v>
      </c>
      <c r="F82" s="3">
        <v>15</v>
      </c>
      <c r="G82" s="1">
        <v>117</v>
      </c>
      <c r="H82" s="35">
        <f t="shared" si="1"/>
        <v>0.12820512820512819</v>
      </c>
      <c r="I82" s="4">
        <v>80</v>
      </c>
      <c r="J82" s="5">
        <v>110</v>
      </c>
      <c r="K82" s="5">
        <v>80</v>
      </c>
      <c r="L82" s="4">
        <v>24</v>
      </c>
      <c r="M82" s="1"/>
      <c r="N82" s="6">
        <v>11</v>
      </c>
      <c r="O82" s="1">
        <v>25</v>
      </c>
      <c r="P82" s="1"/>
      <c r="Q82" s="1" t="s">
        <v>24</v>
      </c>
      <c r="R82" s="1" t="s">
        <v>19</v>
      </c>
      <c r="S82" s="1" t="s">
        <v>25</v>
      </c>
      <c r="T82" s="54">
        <v>119935.36</v>
      </c>
      <c r="U82" s="54">
        <v>7</v>
      </c>
      <c r="V82" s="54">
        <v>1</v>
      </c>
      <c r="W82" s="54">
        <v>6</v>
      </c>
      <c r="X82" s="54" t="s">
        <v>48</v>
      </c>
      <c r="Y82" s="55">
        <v>0</v>
      </c>
    </row>
    <row r="83" spans="1:25" x14ac:dyDescent="0.3">
      <c r="A83" s="13">
        <v>82</v>
      </c>
      <c r="B83" s="7">
        <v>51</v>
      </c>
      <c r="C83" s="7" t="s">
        <v>14</v>
      </c>
      <c r="D83" s="7" t="s">
        <v>15</v>
      </c>
      <c r="E83" s="1" t="s">
        <v>21</v>
      </c>
      <c r="F83" s="8">
        <v>55.6</v>
      </c>
      <c r="G83" s="7">
        <v>148</v>
      </c>
      <c r="H83" s="35">
        <f t="shared" si="1"/>
        <v>0.37567567567567567</v>
      </c>
      <c r="I83" s="9">
        <v>69</v>
      </c>
      <c r="J83" s="5">
        <v>100</v>
      </c>
      <c r="K83" s="5">
        <v>70</v>
      </c>
      <c r="L83" s="9">
        <v>23</v>
      </c>
      <c r="M83" s="1" t="s">
        <v>26</v>
      </c>
      <c r="N83" s="30">
        <v>14.1</v>
      </c>
      <c r="O83" s="7">
        <v>29</v>
      </c>
      <c r="P83" s="7">
        <v>1.1000000000000001</v>
      </c>
      <c r="Q83" s="7" t="s">
        <v>18</v>
      </c>
      <c r="R83" s="7" t="s">
        <v>19</v>
      </c>
      <c r="S83" s="7" t="s">
        <v>20</v>
      </c>
      <c r="T83" s="54">
        <v>199268</v>
      </c>
      <c r="U83" s="54">
        <v>12</v>
      </c>
      <c r="V83" s="54">
        <v>4</v>
      </c>
      <c r="W83" s="54">
        <v>8</v>
      </c>
      <c r="X83" s="54" t="s">
        <v>48</v>
      </c>
      <c r="Y83" s="55">
        <v>0</v>
      </c>
    </row>
    <row r="84" spans="1:25" x14ac:dyDescent="0.3">
      <c r="A84" s="13">
        <v>83</v>
      </c>
      <c r="B84" s="7">
        <v>51</v>
      </c>
      <c r="C84" s="7" t="s">
        <v>27</v>
      </c>
      <c r="D84" s="7" t="s">
        <v>15</v>
      </c>
      <c r="E84" s="1" t="s">
        <v>28</v>
      </c>
      <c r="F84" s="8">
        <v>58</v>
      </c>
      <c r="G84" s="7">
        <v>153</v>
      </c>
      <c r="H84" s="35">
        <f t="shared" si="1"/>
        <v>0.37908496732026142</v>
      </c>
      <c r="I84" s="9">
        <v>90</v>
      </c>
      <c r="J84" s="5">
        <v>130</v>
      </c>
      <c r="K84" s="5">
        <v>80</v>
      </c>
      <c r="L84" s="9">
        <v>24</v>
      </c>
      <c r="M84" s="1"/>
      <c r="N84" s="30">
        <v>8.4</v>
      </c>
      <c r="O84" s="7"/>
      <c r="P84" s="7"/>
      <c r="Q84" s="1" t="s">
        <v>24</v>
      </c>
      <c r="R84" s="7" t="s">
        <v>19</v>
      </c>
      <c r="S84" s="1" t="s">
        <v>25</v>
      </c>
      <c r="T84" s="54">
        <v>341011</v>
      </c>
      <c r="U84" s="54">
        <v>10</v>
      </c>
      <c r="V84" s="54">
        <v>3</v>
      </c>
      <c r="W84" s="54">
        <v>7</v>
      </c>
      <c r="X84" s="54" t="s">
        <v>47</v>
      </c>
      <c r="Y84" s="55">
        <v>51450</v>
      </c>
    </row>
    <row r="85" spans="1:25" x14ac:dyDescent="0.3">
      <c r="A85" s="13">
        <v>84</v>
      </c>
      <c r="B85" s="7">
        <v>62</v>
      </c>
      <c r="C85" s="7" t="s">
        <v>27</v>
      </c>
      <c r="D85" s="7" t="s">
        <v>15</v>
      </c>
      <c r="E85" s="1" t="s">
        <v>28</v>
      </c>
      <c r="F85" s="8">
        <v>44.7</v>
      </c>
      <c r="G85" s="7">
        <v>155</v>
      </c>
      <c r="H85" s="35">
        <f t="shared" si="1"/>
        <v>0.28838709677419355</v>
      </c>
      <c r="I85" s="9">
        <v>87</v>
      </c>
      <c r="J85" s="5">
        <v>130</v>
      </c>
      <c r="K85" s="5">
        <v>68</v>
      </c>
      <c r="L85" s="9">
        <v>24</v>
      </c>
      <c r="M85" s="1"/>
      <c r="N85" s="30">
        <v>9.8000000000000007</v>
      </c>
      <c r="O85" s="10">
        <v>143</v>
      </c>
      <c r="P85" s="7">
        <v>2.5</v>
      </c>
      <c r="Q85" s="7" t="s">
        <v>18</v>
      </c>
      <c r="R85" s="7" t="s">
        <v>19</v>
      </c>
      <c r="S85" s="7" t="s">
        <v>20</v>
      </c>
      <c r="T85" s="54">
        <v>334955</v>
      </c>
      <c r="U85" s="54">
        <v>19</v>
      </c>
      <c r="V85" s="54">
        <v>5</v>
      </c>
      <c r="W85" s="54">
        <v>14</v>
      </c>
      <c r="X85" s="54" t="s">
        <v>47</v>
      </c>
      <c r="Y85" s="55">
        <v>41800</v>
      </c>
    </row>
    <row r="86" spans="1:25" x14ac:dyDescent="0.3">
      <c r="A86" s="13">
        <v>85</v>
      </c>
      <c r="B86" s="7">
        <v>7</v>
      </c>
      <c r="C86" s="7" t="s">
        <v>27</v>
      </c>
      <c r="D86" s="7" t="s">
        <v>29</v>
      </c>
      <c r="E86" s="1" t="s">
        <v>16</v>
      </c>
      <c r="F86" s="8">
        <v>20</v>
      </c>
      <c r="G86" s="7">
        <v>114</v>
      </c>
      <c r="H86" s="35">
        <f t="shared" si="1"/>
        <v>0.17543859649122806</v>
      </c>
      <c r="I86" s="9">
        <v>132</v>
      </c>
      <c r="J86" s="5">
        <v>90</v>
      </c>
      <c r="K86" s="5">
        <v>60</v>
      </c>
      <c r="L86" s="9">
        <v>26</v>
      </c>
      <c r="M86" s="1"/>
      <c r="N86" s="30">
        <v>16.600000000000001</v>
      </c>
      <c r="O86" s="7">
        <v>18</v>
      </c>
      <c r="P86" s="7">
        <v>0.6</v>
      </c>
      <c r="Q86" s="1" t="s">
        <v>24</v>
      </c>
      <c r="R86" s="11" t="s">
        <v>19</v>
      </c>
      <c r="S86" s="1" t="s">
        <v>25</v>
      </c>
      <c r="T86" s="54">
        <v>258138</v>
      </c>
      <c r="U86" s="54">
        <v>23</v>
      </c>
      <c r="V86" s="54">
        <v>4</v>
      </c>
      <c r="W86" s="54">
        <v>19</v>
      </c>
      <c r="X86" s="54" t="s">
        <v>47</v>
      </c>
      <c r="Y86" s="55">
        <v>26000</v>
      </c>
    </row>
    <row r="87" spans="1:25" x14ac:dyDescent="0.3">
      <c r="A87" s="13">
        <v>86</v>
      </c>
      <c r="B87" s="7">
        <v>19</v>
      </c>
      <c r="C87" s="7" t="s">
        <v>27</v>
      </c>
      <c r="D87" s="7" t="s">
        <v>29</v>
      </c>
      <c r="E87" s="1" t="s">
        <v>28</v>
      </c>
      <c r="F87" s="8">
        <v>50</v>
      </c>
      <c r="G87" s="7">
        <v>156</v>
      </c>
      <c r="H87" s="35">
        <f t="shared" si="1"/>
        <v>0.32051282051282054</v>
      </c>
      <c r="I87" s="9">
        <v>72</v>
      </c>
      <c r="J87" s="5">
        <v>110</v>
      </c>
      <c r="K87" s="5">
        <v>70</v>
      </c>
      <c r="L87" s="9">
        <v>22</v>
      </c>
      <c r="M87" s="1"/>
      <c r="N87" s="30">
        <v>11.7</v>
      </c>
      <c r="O87" s="7">
        <v>15</v>
      </c>
      <c r="P87" s="7">
        <v>0.5</v>
      </c>
      <c r="Q87" s="1" t="s">
        <v>24</v>
      </c>
      <c r="R87" s="7" t="s">
        <v>19</v>
      </c>
      <c r="S87" s="1" t="s">
        <v>25</v>
      </c>
      <c r="T87" s="54">
        <v>275888</v>
      </c>
      <c r="U87" s="54">
        <v>13</v>
      </c>
      <c r="V87" s="54">
        <v>2</v>
      </c>
      <c r="W87" s="54">
        <v>11</v>
      </c>
      <c r="X87" s="54" t="s">
        <v>47</v>
      </c>
      <c r="Y87" s="55">
        <v>41800</v>
      </c>
    </row>
    <row r="88" spans="1:25" ht="26.4" x14ac:dyDescent="0.3">
      <c r="A88" s="13">
        <v>87</v>
      </c>
      <c r="B88" s="30">
        <v>0.58333333333333337</v>
      </c>
      <c r="C88" s="7" t="s">
        <v>27</v>
      </c>
      <c r="D88" s="7" t="s">
        <v>29</v>
      </c>
      <c r="E88" s="1" t="s">
        <v>34</v>
      </c>
      <c r="F88" s="8">
        <v>5.8</v>
      </c>
      <c r="G88" s="7">
        <v>57</v>
      </c>
      <c r="H88" s="35">
        <f t="shared" si="1"/>
        <v>0.10175438596491228</v>
      </c>
      <c r="I88" s="9">
        <v>150</v>
      </c>
      <c r="J88" s="5"/>
      <c r="K88" s="5"/>
      <c r="L88" s="9">
        <v>28</v>
      </c>
      <c r="M88" s="1"/>
      <c r="N88" s="30">
        <v>11.3</v>
      </c>
      <c r="O88" s="7">
        <v>38</v>
      </c>
      <c r="P88" s="7">
        <v>0.5</v>
      </c>
      <c r="Q88" s="1" t="s">
        <v>24</v>
      </c>
      <c r="R88" s="7" t="s">
        <v>19</v>
      </c>
      <c r="S88" s="1" t="s">
        <v>25</v>
      </c>
      <c r="T88" s="54">
        <v>308817</v>
      </c>
      <c r="U88" s="54">
        <v>27</v>
      </c>
      <c r="V88" s="54">
        <v>12</v>
      </c>
      <c r="W88" s="54">
        <v>15</v>
      </c>
      <c r="X88" s="54" t="s">
        <v>48</v>
      </c>
      <c r="Y88" s="55">
        <v>0</v>
      </c>
    </row>
    <row r="89" spans="1:25" x14ac:dyDescent="0.3">
      <c r="A89" s="13">
        <v>88</v>
      </c>
      <c r="B89" s="7">
        <v>42</v>
      </c>
      <c r="C89" s="7" t="s">
        <v>14</v>
      </c>
      <c r="D89" s="7" t="s">
        <v>15</v>
      </c>
      <c r="E89" s="1" t="s">
        <v>28</v>
      </c>
      <c r="F89" s="8">
        <v>45</v>
      </c>
      <c r="G89" s="7">
        <v>172</v>
      </c>
      <c r="H89" s="35">
        <f t="shared" si="1"/>
        <v>0.26162790697674421</v>
      </c>
      <c r="I89" s="9">
        <v>127</v>
      </c>
      <c r="J89" s="5">
        <v>100</v>
      </c>
      <c r="K89" s="5">
        <v>70</v>
      </c>
      <c r="L89" s="9">
        <v>23</v>
      </c>
      <c r="M89" s="1"/>
      <c r="N89" s="30">
        <v>12.6</v>
      </c>
      <c r="O89" s="7">
        <v>21</v>
      </c>
      <c r="P89" s="7">
        <v>0.7</v>
      </c>
      <c r="Q89" s="1" t="s">
        <v>24</v>
      </c>
      <c r="R89" s="7" t="s">
        <v>19</v>
      </c>
      <c r="S89" s="1" t="s">
        <v>25</v>
      </c>
      <c r="T89" s="54">
        <v>294615.90000000002</v>
      </c>
      <c r="U89" s="54">
        <v>15</v>
      </c>
      <c r="V89" s="54">
        <v>5</v>
      </c>
      <c r="W89" s="54">
        <v>10</v>
      </c>
      <c r="X89" s="54" t="s">
        <v>47</v>
      </c>
      <c r="Y89" s="55">
        <v>41800</v>
      </c>
    </row>
    <row r="90" spans="1:25" x14ac:dyDescent="0.3">
      <c r="A90" s="13">
        <v>89</v>
      </c>
      <c r="B90" s="7">
        <v>16</v>
      </c>
      <c r="C90" s="7" t="s">
        <v>27</v>
      </c>
      <c r="D90" s="7" t="s">
        <v>29</v>
      </c>
      <c r="E90" s="1" t="s">
        <v>16</v>
      </c>
      <c r="F90" s="8">
        <v>31</v>
      </c>
      <c r="G90" s="7">
        <v>150</v>
      </c>
      <c r="H90" s="35">
        <f t="shared" si="1"/>
        <v>0.20666666666666667</v>
      </c>
      <c r="I90" s="9">
        <v>72</v>
      </c>
      <c r="J90" s="5">
        <v>110</v>
      </c>
      <c r="K90" s="5">
        <v>70</v>
      </c>
      <c r="L90" s="9">
        <v>22</v>
      </c>
      <c r="M90" s="1"/>
      <c r="N90" s="30">
        <v>21</v>
      </c>
      <c r="O90" s="7">
        <v>29</v>
      </c>
      <c r="P90" s="7">
        <v>0.3</v>
      </c>
      <c r="Q90" s="1" t="s">
        <v>24</v>
      </c>
      <c r="R90" s="7" t="s">
        <v>19</v>
      </c>
      <c r="S90" s="1" t="s">
        <v>25</v>
      </c>
      <c r="T90" s="54">
        <v>156576.85</v>
      </c>
      <c r="U90" s="54">
        <v>12</v>
      </c>
      <c r="V90" s="54">
        <v>2</v>
      </c>
      <c r="W90" s="54">
        <v>10</v>
      </c>
      <c r="X90" s="54" t="s">
        <v>48</v>
      </c>
      <c r="Y90" s="55">
        <v>0</v>
      </c>
    </row>
    <row r="91" spans="1:25" x14ac:dyDescent="0.3">
      <c r="A91" s="13">
        <v>90</v>
      </c>
      <c r="B91" s="7">
        <v>3</v>
      </c>
      <c r="C91" s="7" t="s">
        <v>27</v>
      </c>
      <c r="D91" s="7" t="s">
        <v>29</v>
      </c>
      <c r="E91" s="1" t="s">
        <v>16</v>
      </c>
      <c r="F91" s="8">
        <v>9</v>
      </c>
      <c r="G91" s="7">
        <v>81</v>
      </c>
      <c r="H91" s="35">
        <f t="shared" si="1"/>
        <v>0.1111111111111111</v>
      </c>
      <c r="I91" s="9">
        <v>99</v>
      </c>
      <c r="J91" s="5"/>
      <c r="K91" s="5"/>
      <c r="L91" s="9">
        <v>20</v>
      </c>
      <c r="M91" s="1"/>
      <c r="N91" s="30">
        <v>12.9</v>
      </c>
      <c r="O91" s="7">
        <v>17</v>
      </c>
      <c r="P91" s="7">
        <v>0.3</v>
      </c>
      <c r="Q91" s="1" t="s">
        <v>24</v>
      </c>
      <c r="R91" s="7" t="s">
        <v>19</v>
      </c>
      <c r="S91" s="1" t="s">
        <v>25</v>
      </c>
      <c r="T91" s="54">
        <v>109575.6</v>
      </c>
      <c r="U91" s="54">
        <v>18</v>
      </c>
      <c r="V91" s="54">
        <v>1</v>
      </c>
      <c r="W91" s="54">
        <v>17</v>
      </c>
      <c r="X91" s="54" t="s">
        <v>48</v>
      </c>
      <c r="Y91" s="55">
        <v>0</v>
      </c>
    </row>
    <row r="92" spans="1:25" ht="26.4" x14ac:dyDescent="0.3">
      <c r="A92" s="13">
        <v>91</v>
      </c>
      <c r="B92" s="7">
        <v>2</v>
      </c>
      <c r="C92" s="7" t="s">
        <v>27</v>
      </c>
      <c r="D92" s="7" t="s">
        <v>29</v>
      </c>
      <c r="E92" s="1" t="s">
        <v>41</v>
      </c>
      <c r="F92" s="8">
        <v>11.9</v>
      </c>
      <c r="G92" s="7">
        <v>86</v>
      </c>
      <c r="H92" s="35">
        <f t="shared" si="1"/>
        <v>0.13837209302325582</v>
      </c>
      <c r="I92" s="9">
        <v>104</v>
      </c>
      <c r="J92" s="5">
        <v>95</v>
      </c>
      <c r="K92" s="5">
        <v>39</v>
      </c>
      <c r="L92" s="9">
        <v>24</v>
      </c>
      <c r="M92" s="1"/>
      <c r="N92" s="30">
        <v>16</v>
      </c>
      <c r="O92" s="7"/>
      <c r="P92" s="7"/>
      <c r="Q92" s="1" t="s">
        <v>24</v>
      </c>
      <c r="R92" s="7" t="s">
        <v>19</v>
      </c>
      <c r="S92" s="1" t="s">
        <v>25</v>
      </c>
      <c r="T92" s="54">
        <v>209292</v>
      </c>
      <c r="U92" s="54">
        <v>19</v>
      </c>
      <c r="V92" s="54">
        <v>2</v>
      </c>
      <c r="W92" s="54">
        <v>17</v>
      </c>
      <c r="X92" s="54" t="s">
        <v>48</v>
      </c>
      <c r="Y92" s="55">
        <v>0</v>
      </c>
    </row>
    <row r="93" spans="1:25" x14ac:dyDescent="0.3">
      <c r="A93" s="13">
        <v>92</v>
      </c>
      <c r="B93" s="7">
        <v>3</v>
      </c>
      <c r="C93" s="7" t="s">
        <v>14</v>
      </c>
      <c r="D93" s="7" t="s">
        <v>29</v>
      </c>
      <c r="E93" s="1" t="s">
        <v>42</v>
      </c>
      <c r="F93" s="8">
        <v>13</v>
      </c>
      <c r="G93" s="7">
        <v>85</v>
      </c>
      <c r="H93" s="35">
        <f t="shared" si="1"/>
        <v>0.15294117647058825</v>
      </c>
      <c r="I93" s="9">
        <v>140</v>
      </c>
      <c r="J93" s="5">
        <v>90</v>
      </c>
      <c r="K93" s="5">
        <v>60</v>
      </c>
      <c r="L93" s="9">
        <v>24</v>
      </c>
      <c r="M93" s="1" t="s">
        <v>40</v>
      </c>
      <c r="N93" s="30">
        <v>11.4</v>
      </c>
      <c r="O93" s="7">
        <v>15</v>
      </c>
      <c r="P93" s="7">
        <v>0.3</v>
      </c>
      <c r="Q93" s="1" t="s">
        <v>24</v>
      </c>
      <c r="R93" s="7" t="s">
        <v>19</v>
      </c>
      <c r="S93" s="1" t="s">
        <v>25</v>
      </c>
      <c r="T93" s="54">
        <v>195136</v>
      </c>
      <c r="U93" s="54">
        <v>12</v>
      </c>
      <c r="V93" s="54">
        <v>3</v>
      </c>
      <c r="W93" s="54">
        <v>9</v>
      </c>
      <c r="X93" s="54" t="s">
        <v>48</v>
      </c>
      <c r="Y93" s="55">
        <v>0</v>
      </c>
    </row>
    <row r="94" spans="1:25" x14ac:dyDescent="0.3">
      <c r="A94" s="13">
        <v>93</v>
      </c>
      <c r="B94" s="7">
        <v>1</v>
      </c>
      <c r="C94" s="7" t="s">
        <v>14</v>
      </c>
      <c r="D94" s="7" t="s">
        <v>29</v>
      </c>
      <c r="E94" s="1" t="s">
        <v>16</v>
      </c>
      <c r="F94" s="8">
        <v>5.7</v>
      </c>
      <c r="G94" s="7">
        <v>65</v>
      </c>
      <c r="H94" s="35">
        <f t="shared" si="1"/>
        <v>8.7692307692307694E-2</v>
      </c>
      <c r="I94" s="9">
        <v>116</v>
      </c>
      <c r="J94" s="5">
        <v>80</v>
      </c>
      <c r="K94" s="5">
        <v>42</v>
      </c>
      <c r="L94" s="9">
        <v>34</v>
      </c>
      <c r="M94" s="1"/>
      <c r="N94" s="30">
        <v>9.6</v>
      </c>
      <c r="O94" s="7">
        <v>25</v>
      </c>
      <c r="P94" s="7">
        <v>0.3</v>
      </c>
      <c r="Q94" s="1" t="s">
        <v>24</v>
      </c>
      <c r="R94" s="7" t="s">
        <v>19</v>
      </c>
      <c r="S94" s="1" t="s">
        <v>25</v>
      </c>
      <c r="T94" s="54">
        <v>265243</v>
      </c>
      <c r="U94" s="54">
        <v>18</v>
      </c>
      <c r="V94" s="54">
        <v>15</v>
      </c>
      <c r="W94" s="54">
        <v>3</v>
      </c>
      <c r="X94" s="54" t="s">
        <v>48</v>
      </c>
      <c r="Y94" s="55">
        <v>0</v>
      </c>
    </row>
    <row r="95" spans="1:25" x14ac:dyDescent="0.3">
      <c r="A95" s="13">
        <v>94</v>
      </c>
      <c r="B95" s="7">
        <v>65</v>
      </c>
      <c r="C95" s="7" t="s">
        <v>27</v>
      </c>
      <c r="D95" s="7" t="s">
        <v>15</v>
      </c>
      <c r="E95" s="1" t="s">
        <v>42</v>
      </c>
      <c r="F95" s="8">
        <v>43</v>
      </c>
      <c r="G95" s="7">
        <v>155</v>
      </c>
      <c r="H95" s="35">
        <f t="shared" si="1"/>
        <v>0.27741935483870966</v>
      </c>
      <c r="I95" s="9">
        <v>101</v>
      </c>
      <c r="J95" s="5">
        <v>130</v>
      </c>
      <c r="K95" s="5">
        <v>90</v>
      </c>
      <c r="L95" s="9">
        <v>24</v>
      </c>
      <c r="M95" s="1"/>
      <c r="N95" s="30">
        <v>15.2</v>
      </c>
      <c r="O95" s="7">
        <v>99</v>
      </c>
      <c r="P95" s="7">
        <v>1.2</v>
      </c>
      <c r="Q95" s="7" t="s">
        <v>18</v>
      </c>
      <c r="R95" s="7" t="s">
        <v>19</v>
      </c>
      <c r="S95" s="7" t="s">
        <v>20</v>
      </c>
      <c r="T95" s="54">
        <v>201219</v>
      </c>
      <c r="U95" s="54">
        <v>8</v>
      </c>
      <c r="V95" s="54">
        <v>2</v>
      </c>
      <c r="W95" s="54">
        <v>6</v>
      </c>
      <c r="X95" s="54" t="s">
        <v>47</v>
      </c>
      <c r="Y95" s="55">
        <v>30870</v>
      </c>
    </row>
    <row r="96" spans="1:25" x14ac:dyDescent="0.3">
      <c r="A96" s="13">
        <v>95</v>
      </c>
      <c r="B96" s="7">
        <v>7</v>
      </c>
      <c r="C96" s="7" t="s">
        <v>14</v>
      </c>
      <c r="D96" s="7" t="s">
        <v>29</v>
      </c>
      <c r="E96" s="1" t="s">
        <v>16</v>
      </c>
      <c r="F96" s="8">
        <v>14</v>
      </c>
      <c r="G96" s="7">
        <v>112</v>
      </c>
      <c r="H96" s="35">
        <f t="shared" si="1"/>
        <v>0.125</v>
      </c>
      <c r="I96" s="9">
        <v>80</v>
      </c>
      <c r="J96" s="5"/>
      <c r="K96" s="5"/>
      <c r="L96" s="9">
        <v>22</v>
      </c>
      <c r="M96" s="1"/>
      <c r="N96" s="30">
        <v>13.1</v>
      </c>
      <c r="O96" s="7">
        <v>29</v>
      </c>
      <c r="P96" s="7">
        <v>1.2</v>
      </c>
      <c r="Q96" s="1" t="s">
        <v>24</v>
      </c>
      <c r="R96" s="7" t="s">
        <v>19</v>
      </c>
      <c r="S96" s="1" t="s">
        <v>25</v>
      </c>
      <c r="T96" s="54">
        <v>179720</v>
      </c>
      <c r="U96" s="54">
        <v>8</v>
      </c>
      <c r="V96" s="54">
        <v>4</v>
      </c>
      <c r="W96" s="54">
        <v>4</v>
      </c>
      <c r="X96" s="54" t="s">
        <v>48</v>
      </c>
      <c r="Y96" s="55">
        <v>0</v>
      </c>
    </row>
    <row r="97" spans="1:25" x14ac:dyDescent="0.3">
      <c r="A97" s="13">
        <v>96</v>
      </c>
      <c r="B97" s="7">
        <v>70</v>
      </c>
      <c r="C97" s="7" t="s">
        <v>14</v>
      </c>
      <c r="D97" s="7" t="s">
        <v>15</v>
      </c>
      <c r="E97" s="1" t="s">
        <v>33</v>
      </c>
      <c r="F97" s="8">
        <v>58</v>
      </c>
      <c r="G97" s="7">
        <v>171</v>
      </c>
      <c r="H97" s="35">
        <f t="shared" si="1"/>
        <v>0.33918128654970758</v>
      </c>
      <c r="I97" s="9">
        <v>68</v>
      </c>
      <c r="J97" s="5">
        <v>130</v>
      </c>
      <c r="K97" s="5">
        <v>70</v>
      </c>
      <c r="L97" s="9">
        <v>20</v>
      </c>
      <c r="M97" s="1" t="s">
        <v>26</v>
      </c>
      <c r="N97" s="30">
        <v>10</v>
      </c>
      <c r="O97" s="7">
        <v>53</v>
      </c>
      <c r="P97" s="7">
        <v>1.2</v>
      </c>
      <c r="Q97" s="1" t="s">
        <v>24</v>
      </c>
      <c r="R97" s="7" t="s">
        <v>19</v>
      </c>
      <c r="S97" s="1" t="s">
        <v>25</v>
      </c>
      <c r="T97" s="54">
        <v>143278.83000000002</v>
      </c>
      <c r="U97" s="54">
        <v>19</v>
      </c>
      <c r="V97" s="54">
        <v>1</v>
      </c>
      <c r="W97" s="54">
        <v>18</v>
      </c>
      <c r="X97" s="54" t="s">
        <v>48</v>
      </c>
      <c r="Y97" s="55">
        <v>0</v>
      </c>
    </row>
    <row r="98" spans="1:25" x14ac:dyDescent="0.3">
      <c r="A98" s="13">
        <v>97</v>
      </c>
      <c r="B98" s="7">
        <v>49</v>
      </c>
      <c r="C98" s="7" t="s">
        <v>14</v>
      </c>
      <c r="D98" s="7" t="s">
        <v>15</v>
      </c>
      <c r="E98" s="1" t="s">
        <v>42</v>
      </c>
      <c r="F98" s="8">
        <v>56</v>
      </c>
      <c r="G98" s="7">
        <v>155</v>
      </c>
      <c r="H98" s="35">
        <f t="shared" si="1"/>
        <v>0.36129032258064514</v>
      </c>
      <c r="I98" s="9">
        <v>84</v>
      </c>
      <c r="J98" s="5">
        <v>110</v>
      </c>
      <c r="K98" s="5">
        <v>70</v>
      </c>
      <c r="L98" s="9">
        <v>24</v>
      </c>
      <c r="M98" s="1"/>
      <c r="N98" s="30">
        <v>11.9</v>
      </c>
      <c r="O98" s="7">
        <v>29</v>
      </c>
      <c r="P98" s="7">
        <v>0.6</v>
      </c>
      <c r="Q98" s="1" t="s">
        <v>24</v>
      </c>
      <c r="R98" s="7" t="s">
        <v>19</v>
      </c>
      <c r="S98" s="1" t="s">
        <v>25</v>
      </c>
      <c r="T98" s="54">
        <v>214679</v>
      </c>
      <c r="U98" s="54">
        <v>14</v>
      </c>
      <c r="V98" s="54">
        <v>4</v>
      </c>
      <c r="W98" s="54">
        <v>10</v>
      </c>
      <c r="X98" s="54" t="s">
        <v>47</v>
      </c>
      <c r="Y98" s="55">
        <v>30870</v>
      </c>
    </row>
    <row r="99" spans="1:25" x14ac:dyDescent="0.3">
      <c r="A99" s="13">
        <v>98</v>
      </c>
      <c r="B99" s="7">
        <v>2</v>
      </c>
      <c r="C99" s="7" t="s">
        <v>27</v>
      </c>
      <c r="D99" s="7" t="s">
        <v>29</v>
      </c>
      <c r="E99" s="1" t="s">
        <v>16</v>
      </c>
      <c r="F99" s="8">
        <v>8.4</v>
      </c>
      <c r="G99" s="7">
        <v>80</v>
      </c>
      <c r="H99" s="35">
        <f t="shared" si="1"/>
        <v>0.10500000000000001</v>
      </c>
      <c r="I99" s="9">
        <v>112</v>
      </c>
      <c r="J99" s="5">
        <v>89</v>
      </c>
      <c r="K99" s="5">
        <v>56</v>
      </c>
      <c r="L99" s="9">
        <v>30</v>
      </c>
      <c r="M99" s="1"/>
      <c r="N99" s="30">
        <v>25</v>
      </c>
      <c r="O99" s="7">
        <v>35</v>
      </c>
      <c r="P99" s="7">
        <v>0.4</v>
      </c>
      <c r="Q99" s="1" t="s">
        <v>24</v>
      </c>
      <c r="R99" s="7" t="s">
        <v>19</v>
      </c>
      <c r="S99" s="1" t="s">
        <v>25</v>
      </c>
      <c r="T99" s="54">
        <v>165000</v>
      </c>
      <c r="U99" s="54">
        <v>20</v>
      </c>
      <c r="V99" s="54">
        <v>3</v>
      </c>
      <c r="W99" s="54">
        <v>17</v>
      </c>
      <c r="X99" s="54" t="s">
        <v>48</v>
      </c>
      <c r="Y99" s="55">
        <v>0</v>
      </c>
    </row>
    <row r="100" spans="1:25" x14ac:dyDescent="0.3">
      <c r="A100" s="13">
        <v>99</v>
      </c>
      <c r="B100" s="7">
        <v>55</v>
      </c>
      <c r="C100" s="7" t="s">
        <v>14</v>
      </c>
      <c r="D100" s="7" t="s">
        <v>15</v>
      </c>
      <c r="E100" s="1" t="s">
        <v>21</v>
      </c>
      <c r="F100" s="8">
        <v>59</v>
      </c>
      <c r="G100" s="7">
        <v>171</v>
      </c>
      <c r="H100" s="35">
        <f t="shared" si="1"/>
        <v>0.34502923976608185</v>
      </c>
      <c r="I100" s="9">
        <v>84</v>
      </c>
      <c r="J100" s="5">
        <v>160</v>
      </c>
      <c r="K100" s="5">
        <v>110</v>
      </c>
      <c r="L100" s="9">
        <v>20</v>
      </c>
      <c r="M100" s="1" t="s">
        <v>26</v>
      </c>
      <c r="N100" s="30">
        <v>13.1</v>
      </c>
      <c r="O100" s="7">
        <v>14</v>
      </c>
      <c r="P100" s="7"/>
      <c r="Q100" s="1" t="s">
        <v>24</v>
      </c>
      <c r="R100" s="7" t="s">
        <v>19</v>
      </c>
      <c r="S100" s="1" t="s">
        <v>25</v>
      </c>
      <c r="T100" s="54">
        <v>262582</v>
      </c>
      <c r="U100" s="54">
        <v>9</v>
      </c>
      <c r="V100" s="54">
        <v>2</v>
      </c>
      <c r="W100" s="54">
        <v>7</v>
      </c>
      <c r="X100" s="54" t="s">
        <v>47</v>
      </c>
      <c r="Y100" s="55">
        <v>39690</v>
      </c>
    </row>
    <row r="101" spans="1:25" x14ac:dyDescent="0.3">
      <c r="A101" s="13">
        <v>100</v>
      </c>
      <c r="B101" s="7">
        <v>1</v>
      </c>
      <c r="C101" s="7" t="s">
        <v>14</v>
      </c>
      <c r="D101" s="7" t="s">
        <v>29</v>
      </c>
      <c r="E101" s="1" t="s">
        <v>16</v>
      </c>
      <c r="F101" s="8">
        <v>11.1</v>
      </c>
      <c r="G101" s="7">
        <v>76</v>
      </c>
      <c r="H101" s="35">
        <f t="shared" si="1"/>
        <v>0.14605263157894735</v>
      </c>
      <c r="I101" s="9">
        <v>102</v>
      </c>
      <c r="J101" s="5">
        <v>102</v>
      </c>
      <c r="K101" s="5">
        <v>64</v>
      </c>
      <c r="L101" s="9">
        <v>28</v>
      </c>
      <c r="M101" s="1"/>
      <c r="N101" s="30">
        <v>12.9</v>
      </c>
      <c r="O101" s="7">
        <v>19</v>
      </c>
      <c r="P101" s="7">
        <v>0.3</v>
      </c>
      <c r="Q101" s="1" t="s">
        <v>24</v>
      </c>
      <c r="R101" s="7" t="s">
        <v>19</v>
      </c>
      <c r="S101" s="1" t="s">
        <v>25</v>
      </c>
      <c r="T101" s="54">
        <v>208535.71</v>
      </c>
      <c r="U101" s="54">
        <v>14</v>
      </c>
      <c r="V101" s="54">
        <v>4</v>
      </c>
      <c r="W101" s="54">
        <v>10</v>
      </c>
      <c r="X101" s="54" t="s">
        <v>48</v>
      </c>
      <c r="Y101" s="55">
        <v>0</v>
      </c>
    </row>
    <row r="102" spans="1:25" x14ac:dyDescent="0.3">
      <c r="A102" s="13">
        <v>101</v>
      </c>
      <c r="B102" s="7">
        <v>2</v>
      </c>
      <c r="C102" s="7" t="s">
        <v>14</v>
      </c>
      <c r="D102" s="7" t="s">
        <v>29</v>
      </c>
      <c r="E102" s="1" t="s">
        <v>42</v>
      </c>
      <c r="F102" s="8">
        <v>9.4</v>
      </c>
      <c r="G102" s="7">
        <v>81</v>
      </c>
      <c r="H102" s="35">
        <f t="shared" si="1"/>
        <v>0.11604938271604939</v>
      </c>
      <c r="I102" s="9">
        <v>119</v>
      </c>
      <c r="J102" s="5">
        <v>110</v>
      </c>
      <c r="K102" s="5">
        <v>60</v>
      </c>
      <c r="L102" s="9">
        <v>32</v>
      </c>
      <c r="M102" s="1" t="s">
        <v>40</v>
      </c>
      <c r="N102" s="30">
        <v>10.4</v>
      </c>
      <c r="O102" s="7">
        <v>16</v>
      </c>
      <c r="P102" s="7">
        <v>0.4</v>
      </c>
      <c r="Q102" s="1" t="s">
        <v>24</v>
      </c>
      <c r="R102" s="7" t="s">
        <v>19</v>
      </c>
      <c r="S102" s="1" t="s">
        <v>25</v>
      </c>
      <c r="T102" s="54">
        <v>179613.25</v>
      </c>
      <c r="U102" s="54">
        <v>18</v>
      </c>
      <c r="V102" s="54">
        <v>2</v>
      </c>
      <c r="W102" s="54">
        <v>16</v>
      </c>
      <c r="X102" s="54" t="s">
        <v>48</v>
      </c>
      <c r="Y102" s="55">
        <v>0</v>
      </c>
    </row>
    <row r="103" spans="1:25" ht="26.4" x14ac:dyDescent="0.3">
      <c r="A103" s="13">
        <v>102</v>
      </c>
      <c r="B103" s="7">
        <v>8</v>
      </c>
      <c r="C103" s="7" t="s">
        <v>14</v>
      </c>
      <c r="D103" s="7" t="s">
        <v>29</v>
      </c>
      <c r="E103" s="1" t="s">
        <v>41</v>
      </c>
      <c r="F103" s="8">
        <v>16.600000000000001</v>
      </c>
      <c r="G103" s="7">
        <v>128</v>
      </c>
      <c r="H103" s="35">
        <f t="shared" si="1"/>
        <v>0.12968750000000001</v>
      </c>
      <c r="I103" s="9">
        <v>82</v>
      </c>
      <c r="J103" s="5">
        <v>90</v>
      </c>
      <c r="K103" s="5">
        <v>60</v>
      </c>
      <c r="L103" s="9">
        <v>28</v>
      </c>
      <c r="M103" s="1"/>
      <c r="N103" s="30">
        <v>16.399999999999999</v>
      </c>
      <c r="O103" s="7">
        <v>19</v>
      </c>
      <c r="P103" s="7">
        <v>0.4</v>
      </c>
      <c r="Q103" s="1" t="s">
        <v>24</v>
      </c>
      <c r="R103" s="7" t="s">
        <v>19</v>
      </c>
      <c r="S103" s="1" t="s">
        <v>25</v>
      </c>
      <c r="T103" s="54">
        <v>151156.52000000002</v>
      </c>
      <c r="U103" s="54">
        <v>10</v>
      </c>
      <c r="V103" s="54">
        <v>2</v>
      </c>
      <c r="W103" s="54">
        <v>8</v>
      </c>
      <c r="X103" s="54" t="s">
        <v>48</v>
      </c>
      <c r="Y103" s="55">
        <v>0</v>
      </c>
    </row>
    <row r="104" spans="1:25" x14ac:dyDescent="0.3">
      <c r="A104" s="13">
        <v>103</v>
      </c>
      <c r="B104" s="7">
        <v>2</v>
      </c>
      <c r="C104" s="7" t="s">
        <v>14</v>
      </c>
      <c r="D104" s="7" t="s">
        <v>29</v>
      </c>
      <c r="E104" s="1" t="s">
        <v>38</v>
      </c>
      <c r="F104" s="8">
        <v>10</v>
      </c>
      <c r="G104" s="7">
        <v>74</v>
      </c>
      <c r="H104" s="35">
        <f t="shared" si="1"/>
        <v>0.13513513513513514</v>
      </c>
      <c r="I104" s="9">
        <v>98</v>
      </c>
      <c r="J104" s="5">
        <v>90</v>
      </c>
      <c r="K104" s="5">
        <v>50</v>
      </c>
      <c r="L104" s="9">
        <v>24</v>
      </c>
      <c r="M104" s="1"/>
      <c r="N104" s="30">
        <v>9.6</v>
      </c>
      <c r="O104" s="7">
        <v>23</v>
      </c>
      <c r="P104" s="7">
        <v>0.3</v>
      </c>
      <c r="Q104" s="1" t="s">
        <v>24</v>
      </c>
      <c r="R104" s="7" t="s">
        <v>19</v>
      </c>
      <c r="S104" s="1" t="s">
        <v>25</v>
      </c>
      <c r="T104" s="54">
        <v>189701.55</v>
      </c>
      <c r="U104" s="54">
        <v>15</v>
      </c>
      <c r="V104" s="54">
        <v>4</v>
      </c>
      <c r="W104" s="54">
        <v>11</v>
      </c>
      <c r="X104" s="54" t="s">
        <v>48</v>
      </c>
      <c r="Y104" s="55">
        <v>0</v>
      </c>
    </row>
    <row r="105" spans="1:25" ht="26.4" x14ac:dyDescent="0.3">
      <c r="A105" s="13">
        <v>104</v>
      </c>
      <c r="B105" s="7">
        <v>3</v>
      </c>
      <c r="C105" s="7" t="s">
        <v>14</v>
      </c>
      <c r="D105" s="7" t="s">
        <v>29</v>
      </c>
      <c r="E105" s="1" t="s">
        <v>41</v>
      </c>
      <c r="F105" s="8">
        <v>13.3</v>
      </c>
      <c r="G105" s="7">
        <v>88</v>
      </c>
      <c r="H105" s="35">
        <f t="shared" si="1"/>
        <v>0.15113636363636365</v>
      </c>
      <c r="I105" s="9">
        <v>120</v>
      </c>
      <c r="J105" s="5">
        <v>112</v>
      </c>
      <c r="K105" s="5">
        <v>80</v>
      </c>
      <c r="L105" s="9">
        <v>22</v>
      </c>
      <c r="M105" s="1" t="s">
        <v>40</v>
      </c>
      <c r="N105" s="30">
        <v>20.7</v>
      </c>
      <c r="O105" s="7">
        <v>20</v>
      </c>
      <c r="P105" s="7">
        <v>0.3</v>
      </c>
      <c r="Q105" s="1" t="s">
        <v>24</v>
      </c>
      <c r="R105" s="7" t="s">
        <v>19</v>
      </c>
      <c r="S105" s="1" t="s">
        <v>25</v>
      </c>
      <c r="T105" s="54">
        <v>169951</v>
      </c>
      <c r="U105" s="54">
        <v>11</v>
      </c>
      <c r="V105" s="54">
        <v>2</v>
      </c>
      <c r="W105" s="54">
        <v>9</v>
      </c>
      <c r="X105" s="54" t="s">
        <v>48</v>
      </c>
      <c r="Y105" s="55">
        <v>0</v>
      </c>
    </row>
    <row r="106" spans="1:25" x14ac:dyDescent="0.3">
      <c r="A106" s="13">
        <v>105</v>
      </c>
      <c r="B106" s="7">
        <v>46</v>
      </c>
      <c r="C106" s="7" t="s">
        <v>27</v>
      </c>
      <c r="D106" s="7" t="s">
        <v>15</v>
      </c>
      <c r="E106" s="1" t="s">
        <v>28</v>
      </c>
      <c r="F106" s="8">
        <v>53.5</v>
      </c>
      <c r="G106" s="7">
        <v>167</v>
      </c>
      <c r="H106" s="35">
        <f t="shared" si="1"/>
        <v>0.32035928143712578</v>
      </c>
      <c r="I106" s="9">
        <v>110</v>
      </c>
      <c r="J106" s="5">
        <v>130</v>
      </c>
      <c r="K106" s="5">
        <v>90</v>
      </c>
      <c r="L106" s="9">
        <v>24</v>
      </c>
      <c r="M106" s="1"/>
      <c r="N106" s="30">
        <v>10.8</v>
      </c>
      <c r="O106" s="7">
        <v>26</v>
      </c>
      <c r="P106" s="7">
        <v>0.9</v>
      </c>
      <c r="Q106" s="1" t="s">
        <v>24</v>
      </c>
      <c r="R106" s="7" t="s">
        <v>19</v>
      </c>
      <c r="S106" s="1" t="s">
        <v>25</v>
      </c>
      <c r="T106" s="54">
        <v>220519</v>
      </c>
      <c r="U106" s="54">
        <v>11</v>
      </c>
      <c r="V106" s="54">
        <v>1</v>
      </c>
      <c r="W106" s="54">
        <v>10</v>
      </c>
      <c r="X106" s="54" t="s">
        <v>47</v>
      </c>
      <c r="Y106" s="55">
        <v>51450</v>
      </c>
    </row>
    <row r="107" spans="1:25" x14ac:dyDescent="0.3">
      <c r="A107" s="13">
        <v>106</v>
      </c>
      <c r="B107" s="7">
        <v>45</v>
      </c>
      <c r="C107" s="7" t="s">
        <v>27</v>
      </c>
      <c r="D107" s="7" t="s">
        <v>15</v>
      </c>
      <c r="E107" s="1" t="s">
        <v>16</v>
      </c>
      <c r="F107" s="8">
        <v>41</v>
      </c>
      <c r="G107" s="7">
        <v>152</v>
      </c>
      <c r="H107" s="35">
        <f t="shared" si="1"/>
        <v>0.26973684210526316</v>
      </c>
      <c r="I107" s="9">
        <v>88</v>
      </c>
      <c r="J107" s="5">
        <v>110</v>
      </c>
      <c r="K107" s="5">
        <v>70</v>
      </c>
      <c r="L107" s="9">
        <v>20</v>
      </c>
      <c r="M107" s="1"/>
      <c r="N107" s="30">
        <v>13.1</v>
      </c>
      <c r="O107" s="7">
        <v>38</v>
      </c>
      <c r="P107" s="7">
        <v>0.8</v>
      </c>
      <c r="Q107" s="1" t="s">
        <v>24</v>
      </c>
      <c r="R107" s="7" t="s">
        <v>19</v>
      </c>
      <c r="S107" s="1" t="s">
        <v>25</v>
      </c>
      <c r="T107" s="54">
        <v>139723</v>
      </c>
      <c r="U107" s="54">
        <v>7</v>
      </c>
      <c r="V107" s="54">
        <v>3</v>
      </c>
      <c r="W107" s="54">
        <v>4</v>
      </c>
      <c r="X107" s="54" t="s">
        <v>48</v>
      </c>
      <c r="Y107" s="55">
        <v>0</v>
      </c>
    </row>
    <row r="108" spans="1:25" x14ac:dyDescent="0.3">
      <c r="A108" s="13">
        <v>107</v>
      </c>
      <c r="B108" s="7">
        <v>48</v>
      </c>
      <c r="C108" s="7" t="s">
        <v>27</v>
      </c>
      <c r="D108" s="7" t="s">
        <v>15</v>
      </c>
      <c r="E108" s="1" t="s">
        <v>42</v>
      </c>
      <c r="F108" s="8">
        <v>42</v>
      </c>
      <c r="G108" s="7">
        <v>154</v>
      </c>
      <c r="H108" s="35">
        <f t="shared" si="1"/>
        <v>0.27272727272727271</v>
      </c>
      <c r="I108" s="9">
        <v>76</v>
      </c>
      <c r="J108" s="5">
        <v>120</v>
      </c>
      <c r="K108" s="5">
        <v>70</v>
      </c>
      <c r="L108" s="9">
        <v>24</v>
      </c>
      <c r="M108" s="1"/>
      <c r="N108" s="30">
        <v>11.2</v>
      </c>
      <c r="O108" s="7">
        <v>16</v>
      </c>
      <c r="P108" s="7">
        <v>0.4</v>
      </c>
      <c r="Q108" s="1" t="s">
        <v>24</v>
      </c>
      <c r="R108" s="7" t="s">
        <v>19</v>
      </c>
      <c r="S108" s="1" t="s">
        <v>25</v>
      </c>
      <c r="T108" s="54">
        <v>119685.64</v>
      </c>
      <c r="U108" s="54">
        <v>6</v>
      </c>
      <c r="V108" s="54">
        <v>2</v>
      </c>
      <c r="W108" s="54">
        <v>4</v>
      </c>
      <c r="X108" s="54" t="s">
        <v>48</v>
      </c>
      <c r="Y108" s="55">
        <v>0</v>
      </c>
    </row>
    <row r="109" spans="1:25" x14ac:dyDescent="0.3">
      <c r="A109" s="13">
        <v>108</v>
      </c>
      <c r="B109" s="7">
        <v>41</v>
      </c>
      <c r="C109" s="7" t="s">
        <v>27</v>
      </c>
      <c r="D109" s="7" t="s">
        <v>15</v>
      </c>
      <c r="E109" s="1" t="s">
        <v>28</v>
      </c>
      <c r="F109" s="8">
        <v>63.6</v>
      </c>
      <c r="G109" s="7">
        <v>162</v>
      </c>
      <c r="H109" s="35">
        <f t="shared" si="1"/>
        <v>0.3925925925925926</v>
      </c>
      <c r="I109" s="9">
        <v>62</v>
      </c>
      <c r="J109" s="5">
        <v>110</v>
      </c>
      <c r="K109" s="5">
        <v>70</v>
      </c>
      <c r="L109" s="9">
        <v>22</v>
      </c>
      <c r="M109" s="1"/>
      <c r="N109" s="30">
        <v>13.6</v>
      </c>
      <c r="O109" s="7">
        <v>56</v>
      </c>
      <c r="P109" s="7">
        <v>1.1000000000000001</v>
      </c>
      <c r="Q109" s="1" t="s">
        <v>24</v>
      </c>
      <c r="R109" s="7" t="s">
        <v>19</v>
      </c>
      <c r="S109" s="1" t="s">
        <v>25</v>
      </c>
      <c r="T109" s="54">
        <v>253471</v>
      </c>
      <c r="U109" s="54">
        <v>10</v>
      </c>
      <c r="V109" s="54">
        <v>1</v>
      </c>
      <c r="W109" s="54">
        <v>9</v>
      </c>
      <c r="X109" s="54" t="s">
        <v>47</v>
      </c>
      <c r="Y109" s="55">
        <v>82320</v>
      </c>
    </row>
    <row r="110" spans="1:25" x14ac:dyDescent="0.3">
      <c r="A110" s="13">
        <v>109</v>
      </c>
      <c r="B110" s="7">
        <v>7</v>
      </c>
      <c r="C110" s="7" t="s">
        <v>14</v>
      </c>
      <c r="D110" s="7" t="s">
        <v>29</v>
      </c>
      <c r="E110" s="1" t="s">
        <v>16</v>
      </c>
      <c r="F110" s="8">
        <v>15.8</v>
      </c>
      <c r="G110" s="7">
        <v>106</v>
      </c>
      <c r="H110" s="35">
        <f t="shared" si="1"/>
        <v>0.1490566037735849</v>
      </c>
      <c r="I110" s="9">
        <v>90</v>
      </c>
      <c r="J110" s="5">
        <v>110</v>
      </c>
      <c r="K110" s="5">
        <v>70</v>
      </c>
      <c r="L110" s="9">
        <v>22</v>
      </c>
      <c r="M110" s="1" t="s">
        <v>40</v>
      </c>
      <c r="N110" s="30">
        <v>11.4</v>
      </c>
      <c r="O110" s="7">
        <v>27</v>
      </c>
      <c r="P110" s="7">
        <v>0.3</v>
      </c>
      <c r="Q110" s="1" t="s">
        <v>24</v>
      </c>
      <c r="R110" s="7" t="s">
        <v>19</v>
      </c>
      <c r="S110" s="1" t="s">
        <v>25</v>
      </c>
      <c r="T110" s="54">
        <v>129684</v>
      </c>
      <c r="U110" s="54">
        <v>8</v>
      </c>
      <c r="V110" s="54">
        <v>1</v>
      </c>
      <c r="W110" s="54">
        <v>7</v>
      </c>
      <c r="X110" s="54" t="s">
        <v>48</v>
      </c>
      <c r="Y110" s="55">
        <v>0</v>
      </c>
    </row>
    <row r="111" spans="1:25" x14ac:dyDescent="0.3">
      <c r="A111" s="13">
        <v>110</v>
      </c>
      <c r="B111" s="7">
        <v>4</v>
      </c>
      <c r="C111" s="7" t="s">
        <v>27</v>
      </c>
      <c r="D111" s="7" t="s">
        <v>29</v>
      </c>
      <c r="E111" s="1" t="s">
        <v>16</v>
      </c>
      <c r="F111" s="8">
        <v>10.5</v>
      </c>
      <c r="G111" s="7">
        <v>93</v>
      </c>
      <c r="H111" s="35">
        <f t="shared" si="1"/>
        <v>0.11290322580645161</v>
      </c>
      <c r="I111" s="9">
        <v>104</v>
      </c>
      <c r="J111" s="5">
        <v>96</v>
      </c>
      <c r="K111" s="5">
        <v>50</v>
      </c>
      <c r="L111" s="9">
        <v>24</v>
      </c>
      <c r="M111" s="1"/>
      <c r="N111" s="30">
        <v>16.100000000000001</v>
      </c>
      <c r="O111" s="7">
        <v>30</v>
      </c>
      <c r="P111" s="7">
        <v>0.5</v>
      </c>
      <c r="Q111" s="1" t="s">
        <v>24</v>
      </c>
      <c r="R111" s="7" t="s">
        <v>19</v>
      </c>
      <c r="S111" s="1" t="s">
        <v>25</v>
      </c>
      <c r="T111" s="54">
        <v>167122</v>
      </c>
      <c r="U111" s="54">
        <v>9</v>
      </c>
      <c r="V111" s="54">
        <v>2</v>
      </c>
      <c r="W111" s="54">
        <v>7</v>
      </c>
      <c r="X111" s="54" t="s">
        <v>48</v>
      </c>
      <c r="Y111" s="55">
        <v>0</v>
      </c>
    </row>
    <row r="112" spans="1:25" x14ac:dyDescent="0.3">
      <c r="A112" s="13">
        <v>111</v>
      </c>
      <c r="B112" s="7">
        <v>69</v>
      </c>
      <c r="C112" s="7" t="s">
        <v>14</v>
      </c>
      <c r="D112" s="7" t="s">
        <v>15</v>
      </c>
      <c r="E112" s="1" t="s">
        <v>16</v>
      </c>
      <c r="F112" s="8">
        <v>60</v>
      </c>
      <c r="G112" s="7">
        <v>185</v>
      </c>
      <c r="H112" s="35">
        <f t="shared" si="1"/>
        <v>0.32432432432432434</v>
      </c>
      <c r="I112" s="9">
        <v>90</v>
      </c>
      <c r="J112" s="5">
        <v>120</v>
      </c>
      <c r="K112" s="5">
        <v>90</v>
      </c>
      <c r="L112" s="9">
        <v>22</v>
      </c>
      <c r="M112" s="1"/>
      <c r="N112" s="30">
        <v>9.6</v>
      </c>
      <c r="O112" s="7">
        <v>33</v>
      </c>
      <c r="P112" s="7">
        <v>1.3</v>
      </c>
      <c r="Q112" s="1" t="s">
        <v>24</v>
      </c>
      <c r="R112" s="7" t="s">
        <v>19</v>
      </c>
      <c r="S112" s="1" t="s">
        <v>25</v>
      </c>
      <c r="T112" s="54">
        <v>276458</v>
      </c>
      <c r="U112" s="54">
        <v>6</v>
      </c>
      <c r="V112" s="54">
        <v>5</v>
      </c>
      <c r="W112" s="54">
        <v>1</v>
      </c>
      <c r="X112" s="54" t="s">
        <v>47</v>
      </c>
      <c r="Y112" s="55">
        <v>38000</v>
      </c>
    </row>
    <row r="113" spans="1:25" x14ac:dyDescent="0.3">
      <c r="A113" s="13">
        <v>112</v>
      </c>
      <c r="B113" s="7">
        <v>6</v>
      </c>
      <c r="C113" s="7" t="s">
        <v>14</v>
      </c>
      <c r="D113" s="7" t="s">
        <v>29</v>
      </c>
      <c r="E113" s="1" t="s">
        <v>42</v>
      </c>
      <c r="F113" s="8">
        <v>17.8</v>
      </c>
      <c r="G113" s="7">
        <v>115</v>
      </c>
      <c r="H113" s="35">
        <f t="shared" si="1"/>
        <v>0.15478260869565219</v>
      </c>
      <c r="I113" s="9">
        <v>75</v>
      </c>
      <c r="J113" s="5">
        <v>110</v>
      </c>
      <c r="K113" s="5">
        <v>72</v>
      </c>
      <c r="L113" s="9">
        <v>22</v>
      </c>
      <c r="M113" s="1"/>
      <c r="N113" s="30">
        <v>10.3</v>
      </c>
      <c r="O113" s="7">
        <v>18</v>
      </c>
      <c r="P113" s="7">
        <v>0.3</v>
      </c>
      <c r="Q113" s="1" t="s">
        <v>24</v>
      </c>
      <c r="R113" s="7" t="s">
        <v>19</v>
      </c>
      <c r="S113" s="1" t="s">
        <v>25</v>
      </c>
      <c r="T113" s="54">
        <v>150337</v>
      </c>
      <c r="U113" s="54">
        <v>9</v>
      </c>
      <c r="V113" s="54">
        <v>2</v>
      </c>
      <c r="W113" s="54">
        <v>7</v>
      </c>
      <c r="X113" s="54" t="s">
        <v>48</v>
      </c>
      <c r="Y113" s="55">
        <v>0</v>
      </c>
    </row>
    <row r="114" spans="1:25" x14ac:dyDescent="0.3">
      <c r="A114" s="13">
        <v>113</v>
      </c>
      <c r="B114" s="7">
        <v>44</v>
      </c>
      <c r="C114" s="7" t="s">
        <v>27</v>
      </c>
      <c r="D114" s="7" t="s">
        <v>15</v>
      </c>
      <c r="E114" s="1" t="s">
        <v>42</v>
      </c>
      <c r="F114" s="8">
        <v>60</v>
      </c>
      <c r="G114" s="7">
        <v>157</v>
      </c>
      <c r="H114" s="35">
        <f t="shared" si="1"/>
        <v>0.38216560509554143</v>
      </c>
      <c r="I114" s="9">
        <v>86</v>
      </c>
      <c r="J114" s="5">
        <v>150</v>
      </c>
      <c r="K114" s="5">
        <v>80</v>
      </c>
      <c r="L114" s="9">
        <v>22</v>
      </c>
      <c r="M114" s="1" t="s">
        <v>31</v>
      </c>
      <c r="N114" s="30">
        <v>15.4</v>
      </c>
      <c r="O114" s="7">
        <v>21</v>
      </c>
      <c r="P114" s="7"/>
      <c r="Q114" s="1" t="s">
        <v>24</v>
      </c>
      <c r="R114" s="7" t="s">
        <v>19</v>
      </c>
      <c r="S114" s="1" t="s">
        <v>25</v>
      </c>
      <c r="T114" s="54">
        <v>138093.02000000002</v>
      </c>
      <c r="U114" s="54">
        <v>7</v>
      </c>
      <c r="V114" s="54">
        <v>2</v>
      </c>
      <c r="W114" s="54">
        <v>5</v>
      </c>
      <c r="X114" s="54" t="s">
        <v>48</v>
      </c>
      <c r="Y114" s="55">
        <v>0</v>
      </c>
    </row>
    <row r="115" spans="1:25" x14ac:dyDescent="0.3">
      <c r="A115" s="13">
        <v>114</v>
      </c>
      <c r="B115" s="7">
        <v>9</v>
      </c>
      <c r="C115" s="7" t="s">
        <v>27</v>
      </c>
      <c r="D115" s="7" t="s">
        <v>29</v>
      </c>
      <c r="E115" s="1" t="s">
        <v>16</v>
      </c>
      <c r="F115" s="8">
        <v>4.9000000000000004</v>
      </c>
      <c r="G115" s="7">
        <v>71</v>
      </c>
      <c r="H115" s="35">
        <f t="shared" si="1"/>
        <v>6.9014084507042259E-2</v>
      </c>
      <c r="I115" s="9">
        <v>104</v>
      </c>
      <c r="J115" s="5">
        <v>100</v>
      </c>
      <c r="K115" s="5">
        <v>60</v>
      </c>
      <c r="L115" s="9">
        <v>24</v>
      </c>
      <c r="M115" s="1"/>
      <c r="N115" s="30">
        <v>11.5</v>
      </c>
      <c r="O115" s="7">
        <v>47</v>
      </c>
      <c r="P115" s="7">
        <v>0.5</v>
      </c>
      <c r="Q115" s="1" t="s">
        <v>24</v>
      </c>
      <c r="R115" s="7" t="s">
        <v>19</v>
      </c>
      <c r="S115" s="1" t="s">
        <v>25</v>
      </c>
      <c r="T115" s="54">
        <v>178398</v>
      </c>
      <c r="U115" s="54">
        <v>12</v>
      </c>
      <c r="V115" s="54">
        <v>3</v>
      </c>
      <c r="W115" s="54">
        <v>9</v>
      </c>
      <c r="X115" s="54" t="s">
        <v>48</v>
      </c>
      <c r="Y115" s="55">
        <v>0</v>
      </c>
    </row>
    <row r="116" spans="1:25" x14ac:dyDescent="0.3">
      <c r="A116" s="13">
        <v>115</v>
      </c>
      <c r="B116" s="7">
        <v>36</v>
      </c>
      <c r="C116" s="7" t="s">
        <v>14</v>
      </c>
      <c r="D116" s="7" t="s">
        <v>15</v>
      </c>
      <c r="E116" s="1" t="s">
        <v>28</v>
      </c>
      <c r="F116" s="8">
        <v>50</v>
      </c>
      <c r="G116" s="7">
        <v>168</v>
      </c>
      <c r="H116" s="35">
        <f t="shared" si="1"/>
        <v>0.29761904761904762</v>
      </c>
      <c r="I116" s="9">
        <v>60</v>
      </c>
      <c r="J116" s="5">
        <v>120</v>
      </c>
      <c r="K116" s="5">
        <v>80</v>
      </c>
      <c r="L116" s="9">
        <v>24</v>
      </c>
      <c r="M116" s="1"/>
      <c r="N116" s="30">
        <v>13.3</v>
      </c>
      <c r="O116" s="7">
        <v>21</v>
      </c>
      <c r="P116" s="7">
        <v>1.1000000000000001</v>
      </c>
      <c r="Q116" s="1" t="s">
        <v>24</v>
      </c>
      <c r="R116" s="7" t="s">
        <v>19</v>
      </c>
      <c r="S116" s="1" t="s">
        <v>25</v>
      </c>
      <c r="T116" s="54">
        <v>180870</v>
      </c>
      <c r="U116" s="54">
        <v>8</v>
      </c>
      <c r="V116" s="54">
        <v>1</v>
      </c>
      <c r="W116" s="54">
        <v>7</v>
      </c>
      <c r="X116" s="54" t="s">
        <v>47</v>
      </c>
      <c r="Y116" s="55">
        <v>20900</v>
      </c>
    </row>
    <row r="117" spans="1:25" x14ac:dyDescent="0.3">
      <c r="A117" s="13">
        <v>116</v>
      </c>
      <c r="B117" s="7">
        <v>37</v>
      </c>
      <c r="C117" s="7" t="s">
        <v>14</v>
      </c>
      <c r="D117" s="7" t="s">
        <v>15</v>
      </c>
      <c r="E117" s="1" t="s">
        <v>16</v>
      </c>
      <c r="F117" s="8">
        <v>46</v>
      </c>
      <c r="G117" s="7">
        <v>62</v>
      </c>
      <c r="H117" s="35">
        <f t="shared" si="1"/>
        <v>0.74193548387096775</v>
      </c>
      <c r="I117" s="9">
        <v>96</v>
      </c>
      <c r="J117" s="5">
        <v>140</v>
      </c>
      <c r="K117" s="5">
        <v>90</v>
      </c>
      <c r="L117" s="9">
        <v>20</v>
      </c>
      <c r="M117" s="1"/>
      <c r="N117" s="30">
        <v>5</v>
      </c>
      <c r="O117" s="7"/>
      <c r="P117" s="7"/>
      <c r="Q117" s="1" t="s">
        <v>24</v>
      </c>
      <c r="R117" s="7" t="s">
        <v>19</v>
      </c>
      <c r="S117" s="1" t="s">
        <v>25</v>
      </c>
      <c r="T117" s="54">
        <v>182651</v>
      </c>
      <c r="U117" s="54">
        <v>10</v>
      </c>
      <c r="V117" s="54">
        <v>2</v>
      </c>
      <c r="W117" s="54">
        <v>8</v>
      </c>
      <c r="X117" s="54" t="s">
        <v>47</v>
      </c>
      <c r="Y117" s="55">
        <v>56000</v>
      </c>
    </row>
    <row r="118" spans="1:25" x14ac:dyDescent="0.3">
      <c r="A118" s="13">
        <v>117</v>
      </c>
      <c r="B118" s="7">
        <v>16</v>
      </c>
      <c r="C118" s="7" t="s">
        <v>27</v>
      </c>
      <c r="D118" s="7" t="s">
        <v>29</v>
      </c>
      <c r="E118" s="1" t="s">
        <v>16</v>
      </c>
      <c r="F118" s="8">
        <v>41</v>
      </c>
      <c r="G118" s="7">
        <v>162</v>
      </c>
      <c r="H118" s="35">
        <f t="shared" si="1"/>
        <v>0.25308641975308643</v>
      </c>
      <c r="I118" s="9">
        <v>74</v>
      </c>
      <c r="J118" s="5">
        <v>100</v>
      </c>
      <c r="K118" s="5">
        <v>70</v>
      </c>
      <c r="L118" s="9">
        <v>24</v>
      </c>
      <c r="M118" s="1"/>
      <c r="N118" s="30">
        <v>12.4</v>
      </c>
      <c r="O118" s="7">
        <v>19</v>
      </c>
      <c r="P118" s="7">
        <v>0.4</v>
      </c>
      <c r="Q118" s="1" t="s">
        <v>24</v>
      </c>
      <c r="R118" s="7" t="s">
        <v>19</v>
      </c>
      <c r="S118" s="1" t="s">
        <v>25</v>
      </c>
      <c r="T118" s="54">
        <v>323960</v>
      </c>
      <c r="U118" s="54">
        <v>12</v>
      </c>
      <c r="V118" s="54">
        <v>2</v>
      </c>
      <c r="W118" s="54">
        <v>10</v>
      </c>
      <c r="X118" s="54" t="s">
        <v>47</v>
      </c>
      <c r="Y118" s="55">
        <v>77450</v>
      </c>
    </row>
    <row r="119" spans="1:25" x14ac:dyDescent="0.3">
      <c r="A119" s="13">
        <v>118</v>
      </c>
      <c r="B119" s="7">
        <v>5</v>
      </c>
      <c r="C119" s="7" t="s">
        <v>14</v>
      </c>
      <c r="D119" s="7" t="s">
        <v>29</v>
      </c>
      <c r="E119" s="1" t="s">
        <v>16</v>
      </c>
      <c r="F119" s="8">
        <v>3.3</v>
      </c>
      <c r="G119" s="7">
        <v>22</v>
      </c>
      <c r="H119" s="35">
        <f t="shared" si="1"/>
        <v>0.15</v>
      </c>
      <c r="I119" s="9">
        <v>140</v>
      </c>
      <c r="J119" s="5">
        <v>102</v>
      </c>
      <c r="K119" s="5" t="s">
        <v>17</v>
      </c>
      <c r="L119" s="9">
        <v>30</v>
      </c>
      <c r="M119" s="1" t="s">
        <v>40</v>
      </c>
      <c r="N119" s="30">
        <v>12.7</v>
      </c>
      <c r="O119" s="7">
        <v>26</v>
      </c>
      <c r="P119" s="7">
        <v>0.3</v>
      </c>
      <c r="Q119" s="1" t="s">
        <v>24</v>
      </c>
      <c r="R119" s="7" t="s">
        <v>19</v>
      </c>
      <c r="S119" s="1" t="s">
        <v>25</v>
      </c>
      <c r="T119" s="54">
        <v>159327.38</v>
      </c>
      <c r="U119" s="54">
        <v>19</v>
      </c>
      <c r="V119" s="54">
        <v>4</v>
      </c>
      <c r="W119" s="54">
        <v>15</v>
      </c>
      <c r="X119" s="54" t="s">
        <v>48</v>
      </c>
      <c r="Y119" s="55">
        <v>0</v>
      </c>
    </row>
    <row r="120" spans="1:25" ht="26.4" x14ac:dyDescent="0.3">
      <c r="A120" s="13">
        <v>119</v>
      </c>
      <c r="B120" s="7">
        <v>5</v>
      </c>
      <c r="C120" s="7" t="s">
        <v>14</v>
      </c>
      <c r="D120" s="7" t="s">
        <v>29</v>
      </c>
      <c r="E120" s="1" t="s">
        <v>34</v>
      </c>
      <c r="F120" s="8">
        <v>15.4</v>
      </c>
      <c r="G120" s="7">
        <v>98</v>
      </c>
      <c r="H120" s="35">
        <f t="shared" si="1"/>
        <v>0.15714285714285714</v>
      </c>
      <c r="I120" s="9">
        <v>123</v>
      </c>
      <c r="J120" s="5">
        <v>90</v>
      </c>
      <c r="K120" s="5">
        <v>50</v>
      </c>
      <c r="L120" s="9">
        <v>24</v>
      </c>
      <c r="M120" s="1"/>
      <c r="N120" s="30">
        <v>22.8</v>
      </c>
      <c r="O120" s="7">
        <v>19</v>
      </c>
      <c r="P120" s="7">
        <v>0.3</v>
      </c>
      <c r="Q120" s="1" t="s">
        <v>24</v>
      </c>
      <c r="R120" s="7" t="s">
        <v>19</v>
      </c>
      <c r="S120" s="1" t="s">
        <v>25</v>
      </c>
      <c r="T120" s="54">
        <v>131430</v>
      </c>
      <c r="U120" s="54">
        <v>11</v>
      </c>
      <c r="V120" s="54">
        <v>3</v>
      </c>
      <c r="W120" s="54">
        <v>8</v>
      </c>
      <c r="X120" s="54" t="s">
        <v>48</v>
      </c>
      <c r="Y120" s="55">
        <v>0</v>
      </c>
    </row>
    <row r="121" spans="1:25" ht="26.4" x14ac:dyDescent="0.3">
      <c r="A121" s="13">
        <v>120</v>
      </c>
      <c r="B121" s="7">
        <v>3</v>
      </c>
      <c r="C121" s="7" t="s">
        <v>27</v>
      </c>
      <c r="D121" s="7" t="s">
        <v>29</v>
      </c>
      <c r="E121" s="1" t="s">
        <v>41</v>
      </c>
      <c r="F121" s="8">
        <v>10</v>
      </c>
      <c r="G121" s="7">
        <v>85</v>
      </c>
      <c r="H121" s="35">
        <f t="shared" si="1"/>
        <v>0.11764705882352941</v>
      </c>
      <c r="I121" s="9">
        <v>116</v>
      </c>
      <c r="J121" s="5">
        <v>84</v>
      </c>
      <c r="K121" s="5">
        <v>70</v>
      </c>
      <c r="L121" s="9">
        <v>24</v>
      </c>
      <c r="M121" s="1"/>
      <c r="N121" s="30">
        <v>18.5</v>
      </c>
      <c r="O121" s="7">
        <v>23</v>
      </c>
      <c r="P121" s="7">
        <v>0.3</v>
      </c>
      <c r="Q121" s="1" t="s">
        <v>24</v>
      </c>
      <c r="R121" s="7" t="s">
        <v>19</v>
      </c>
      <c r="S121" s="1" t="s">
        <v>25</v>
      </c>
      <c r="T121" s="54">
        <v>180415.66999999998</v>
      </c>
      <c r="U121" s="54">
        <v>13</v>
      </c>
      <c r="V121" s="54">
        <v>3</v>
      </c>
      <c r="W121" s="54">
        <v>10</v>
      </c>
      <c r="X121" s="54" t="s">
        <v>48</v>
      </c>
      <c r="Y121" s="55">
        <v>0</v>
      </c>
    </row>
    <row r="122" spans="1:25" x14ac:dyDescent="0.3">
      <c r="A122" s="13">
        <v>121</v>
      </c>
      <c r="B122" s="7">
        <v>51</v>
      </c>
      <c r="C122" s="7" t="s">
        <v>14</v>
      </c>
      <c r="D122" s="7" t="s">
        <v>15</v>
      </c>
      <c r="E122" s="1" t="s">
        <v>22</v>
      </c>
      <c r="F122" s="8">
        <v>64</v>
      </c>
      <c r="G122" s="7">
        <v>168</v>
      </c>
      <c r="H122" s="35">
        <f t="shared" si="1"/>
        <v>0.38095238095238093</v>
      </c>
      <c r="I122" s="9">
        <v>80</v>
      </c>
      <c r="J122" s="5">
        <v>130</v>
      </c>
      <c r="K122" s="5">
        <v>70</v>
      </c>
      <c r="L122" s="9">
        <v>24</v>
      </c>
      <c r="M122" s="1" t="s">
        <v>31</v>
      </c>
      <c r="N122" s="30">
        <v>11.47</v>
      </c>
      <c r="O122" s="7">
        <v>17</v>
      </c>
      <c r="P122" s="7">
        <v>0.8</v>
      </c>
      <c r="Q122" s="1" t="s">
        <v>24</v>
      </c>
      <c r="R122" s="7" t="s">
        <v>19</v>
      </c>
      <c r="S122" s="1" t="s">
        <v>25</v>
      </c>
      <c r="T122" s="54">
        <v>139067</v>
      </c>
      <c r="U122" s="54">
        <v>7</v>
      </c>
      <c r="V122" s="54">
        <v>3</v>
      </c>
      <c r="W122" s="54">
        <v>4</v>
      </c>
      <c r="X122" s="54" t="s">
        <v>48</v>
      </c>
      <c r="Y122" s="55">
        <v>0</v>
      </c>
    </row>
    <row r="123" spans="1:25" x14ac:dyDescent="0.3">
      <c r="A123" s="13">
        <v>122</v>
      </c>
      <c r="B123" s="7">
        <v>24</v>
      </c>
      <c r="C123" s="7" t="s">
        <v>27</v>
      </c>
      <c r="D123" s="7" t="s">
        <v>15</v>
      </c>
      <c r="E123" s="1" t="s">
        <v>28</v>
      </c>
      <c r="F123" s="8">
        <v>43</v>
      </c>
      <c r="G123" s="7">
        <v>159</v>
      </c>
      <c r="H123" s="35">
        <f t="shared" si="1"/>
        <v>0.27044025157232704</v>
      </c>
      <c r="I123" s="9">
        <v>68</v>
      </c>
      <c r="J123" s="5">
        <v>110</v>
      </c>
      <c r="K123" s="5">
        <v>70</v>
      </c>
      <c r="L123" s="9">
        <v>22</v>
      </c>
      <c r="M123" s="1"/>
      <c r="N123" s="30">
        <v>11</v>
      </c>
      <c r="O123" s="7"/>
      <c r="P123" s="7"/>
      <c r="Q123" s="1" t="s">
        <v>24</v>
      </c>
      <c r="R123" s="7" t="s">
        <v>19</v>
      </c>
      <c r="S123" s="1" t="s">
        <v>25</v>
      </c>
      <c r="T123" s="54">
        <v>197865</v>
      </c>
      <c r="U123" s="54">
        <v>11</v>
      </c>
      <c r="V123" s="54">
        <v>1</v>
      </c>
      <c r="W123" s="54">
        <v>10</v>
      </c>
      <c r="X123" s="54" t="s">
        <v>47</v>
      </c>
      <c r="Y123" s="55">
        <v>20900</v>
      </c>
    </row>
    <row r="124" spans="1:25" x14ac:dyDescent="0.3">
      <c r="A124" s="13">
        <v>123</v>
      </c>
      <c r="B124" s="7">
        <v>8</v>
      </c>
      <c r="C124" s="7" t="s">
        <v>14</v>
      </c>
      <c r="D124" s="7" t="s">
        <v>29</v>
      </c>
      <c r="E124" s="1" t="s">
        <v>16</v>
      </c>
      <c r="F124" s="8">
        <v>17.8</v>
      </c>
      <c r="G124" s="7">
        <v>117</v>
      </c>
      <c r="H124" s="35">
        <f t="shared" si="1"/>
        <v>0.15213675213675215</v>
      </c>
      <c r="I124" s="9">
        <v>83</v>
      </c>
      <c r="J124" s="5">
        <v>98</v>
      </c>
      <c r="K124" s="5">
        <v>70</v>
      </c>
      <c r="L124" s="9">
        <v>24</v>
      </c>
      <c r="M124" s="1"/>
      <c r="N124" s="30">
        <v>8.9</v>
      </c>
      <c r="O124" s="7">
        <v>25</v>
      </c>
      <c r="P124" s="7">
        <v>0.9</v>
      </c>
      <c r="Q124" s="1" t="s">
        <v>24</v>
      </c>
      <c r="R124" s="7" t="s">
        <v>19</v>
      </c>
      <c r="S124" s="1" t="s">
        <v>25</v>
      </c>
      <c r="T124" s="54">
        <v>144900.29999999999</v>
      </c>
      <c r="U124" s="54">
        <v>14</v>
      </c>
      <c r="V124" s="54">
        <v>1</v>
      </c>
      <c r="W124" s="54">
        <v>13</v>
      </c>
      <c r="X124" s="54" t="s">
        <v>48</v>
      </c>
      <c r="Y124" s="55">
        <v>0</v>
      </c>
    </row>
    <row r="125" spans="1:25" x14ac:dyDescent="0.3">
      <c r="A125" s="13">
        <v>124</v>
      </c>
      <c r="B125" s="7">
        <v>4</v>
      </c>
      <c r="C125" s="7" t="s">
        <v>14</v>
      </c>
      <c r="D125" s="7" t="s">
        <v>29</v>
      </c>
      <c r="E125" s="1" t="s">
        <v>16</v>
      </c>
      <c r="F125" s="8">
        <v>14.9</v>
      </c>
      <c r="G125" s="7">
        <v>99</v>
      </c>
      <c r="H125" s="35">
        <f t="shared" si="1"/>
        <v>0.1505050505050505</v>
      </c>
      <c r="I125" s="9">
        <v>102</v>
      </c>
      <c r="J125" s="5">
        <v>100</v>
      </c>
      <c r="K125" s="5">
        <v>53</v>
      </c>
      <c r="L125" s="9">
        <v>24</v>
      </c>
      <c r="M125" s="1"/>
      <c r="N125" s="30">
        <v>11.9</v>
      </c>
      <c r="O125" s="7">
        <v>34</v>
      </c>
      <c r="P125" s="7">
        <v>0.3</v>
      </c>
      <c r="Q125" s="1" t="s">
        <v>24</v>
      </c>
      <c r="R125" s="7" t="s">
        <v>19</v>
      </c>
      <c r="S125" s="1" t="s">
        <v>25</v>
      </c>
      <c r="T125" s="54">
        <v>202633.9</v>
      </c>
      <c r="U125" s="54">
        <v>9</v>
      </c>
      <c r="V125" s="54">
        <v>3</v>
      </c>
      <c r="W125" s="54">
        <v>6</v>
      </c>
      <c r="X125" s="54" t="s">
        <v>47</v>
      </c>
      <c r="Y125" s="55">
        <v>21498</v>
      </c>
    </row>
    <row r="126" spans="1:25" x14ac:dyDescent="0.3">
      <c r="A126" s="13">
        <v>125</v>
      </c>
      <c r="B126" s="7">
        <v>46</v>
      </c>
      <c r="C126" s="7" t="s">
        <v>27</v>
      </c>
      <c r="D126" s="7" t="s">
        <v>15</v>
      </c>
      <c r="E126" s="1" t="s">
        <v>28</v>
      </c>
      <c r="F126" s="8">
        <v>43.4</v>
      </c>
      <c r="G126" s="7">
        <v>147</v>
      </c>
      <c r="H126" s="35">
        <f t="shared" si="1"/>
        <v>0.29523809523809524</v>
      </c>
      <c r="I126" s="9">
        <v>97</v>
      </c>
      <c r="J126" s="5">
        <v>110</v>
      </c>
      <c r="K126" s="5">
        <v>80</v>
      </c>
      <c r="L126" s="9">
        <v>22</v>
      </c>
      <c r="M126" s="1"/>
      <c r="N126" s="30">
        <v>12.8</v>
      </c>
      <c r="O126" s="7">
        <v>46</v>
      </c>
      <c r="P126" s="7">
        <v>0.6</v>
      </c>
      <c r="Q126" s="1" t="s">
        <v>24</v>
      </c>
      <c r="R126" s="7" t="s">
        <v>19</v>
      </c>
      <c r="S126" s="1" t="s">
        <v>25</v>
      </c>
      <c r="T126" s="54">
        <v>232676</v>
      </c>
      <c r="U126" s="54">
        <v>10</v>
      </c>
      <c r="V126" s="54">
        <v>2</v>
      </c>
      <c r="W126" s="54">
        <v>8</v>
      </c>
      <c r="X126" s="54" t="s">
        <v>47</v>
      </c>
      <c r="Y126" s="55">
        <v>51450</v>
      </c>
    </row>
    <row r="127" spans="1:25" x14ac:dyDescent="0.3">
      <c r="A127" s="13">
        <v>126</v>
      </c>
      <c r="B127" s="7">
        <v>48</v>
      </c>
      <c r="C127" s="7" t="s">
        <v>14</v>
      </c>
      <c r="D127" s="7" t="s">
        <v>15</v>
      </c>
      <c r="E127" s="1" t="s">
        <v>43</v>
      </c>
      <c r="F127" s="8">
        <v>60.3</v>
      </c>
      <c r="G127" s="7">
        <v>155</v>
      </c>
      <c r="H127" s="35">
        <f t="shared" si="1"/>
        <v>0.38903225806451613</v>
      </c>
      <c r="I127" s="9">
        <v>60</v>
      </c>
      <c r="J127" s="5">
        <v>100</v>
      </c>
      <c r="K127" s="5">
        <v>60</v>
      </c>
      <c r="L127" s="9">
        <v>24</v>
      </c>
      <c r="M127" s="1"/>
      <c r="N127" s="30">
        <v>15.4</v>
      </c>
      <c r="O127" s="7"/>
      <c r="P127" s="7">
        <v>0.7</v>
      </c>
      <c r="Q127" s="1" t="s">
        <v>24</v>
      </c>
      <c r="R127" s="7" t="s">
        <v>19</v>
      </c>
      <c r="S127" s="1" t="s">
        <v>25</v>
      </c>
      <c r="T127" s="54">
        <v>127899</v>
      </c>
      <c r="U127" s="54">
        <v>6</v>
      </c>
      <c r="V127" s="54">
        <v>1</v>
      </c>
      <c r="W127" s="54">
        <v>5</v>
      </c>
      <c r="X127" s="54" t="s">
        <v>48</v>
      </c>
      <c r="Y127" s="55">
        <v>0</v>
      </c>
    </row>
    <row r="128" spans="1:25" x14ac:dyDescent="0.3">
      <c r="A128" s="13">
        <v>127</v>
      </c>
      <c r="B128" s="7">
        <v>8</v>
      </c>
      <c r="C128" s="7" t="s">
        <v>14</v>
      </c>
      <c r="D128" s="7" t="s">
        <v>29</v>
      </c>
      <c r="E128" s="1" t="s">
        <v>16</v>
      </c>
      <c r="F128" s="8">
        <v>18</v>
      </c>
      <c r="G128" s="7">
        <v>118</v>
      </c>
      <c r="H128" s="35">
        <f t="shared" si="1"/>
        <v>0.15254237288135594</v>
      </c>
      <c r="I128" s="9">
        <v>106</v>
      </c>
      <c r="J128" s="5">
        <v>130</v>
      </c>
      <c r="K128" s="5">
        <v>80</v>
      </c>
      <c r="L128" s="9">
        <v>24</v>
      </c>
      <c r="M128" s="1"/>
      <c r="N128" s="30">
        <v>12.6</v>
      </c>
      <c r="O128" s="7">
        <v>18</v>
      </c>
      <c r="P128" s="7">
        <v>0.7</v>
      </c>
      <c r="Q128" s="1" t="s">
        <v>24</v>
      </c>
      <c r="R128" s="7" t="s">
        <v>19</v>
      </c>
      <c r="S128" s="1" t="s">
        <v>25</v>
      </c>
      <c r="T128" s="54">
        <v>145362</v>
      </c>
      <c r="U128" s="54">
        <v>8</v>
      </c>
      <c r="V128" s="54">
        <v>2</v>
      </c>
      <c r="W128" s="54">
        <v>6</v>
      </c>
      <c r="X128" s="54" t="s">
        <v>48</v>
      </c>
      <c r="Y128" s="55">
        <v>0</v>
      </c>
    </row>
    <row r="129" spans="1:25" ht="26.4" x14ac:dyDescent="0.3">
      <c r="A129" s="13">
        <v>128</v>
      </c>
      <c r="B129" s="7">
        <v>7</v>
      </c>
      <c r="C129" s="7" t="s">
        <v>14</v>
      </c>
      <c r="D129" s="7" t="s">
        <v>29</v>
      </c>
      <c r="E129" s="1" t="s">
        <v>34</v>
      </c>
      <c r="F129" s="8">
        <v>19.3</v>
      </c>
      <c r="G129" s="7">
        <v>115</v>
      </c>
      <c r="H129" s="35">
        <f t="shared" si="1"/>
        <v>0.16782608695652174</v>
      </c>
      <c r="I129" s="9">
        <v>80</v>
      </c>
      <c r="J129" s="5">
        <v>100</v>
      </c>
      <c r="K129" s="5">
        <v>70</v>
      </c>
      <c r="L129" s="9">
        <v>24</v>
      </c>
      <c r="M129" s="1"/>
      <c r="N129" s="30">
        <v>13.1</v>
      </c>
      <c r="O129" s="7">
        <v>16</v>
      </c>
      <c r="P129" s="7">
        <v>0.4</v>
      </c>
      <c r="Q129" s="1" t="s">
        <v>24</v>
      </c>
      <c r="R129" s="7" t="s">
        <v>19</v>
      </c>
      <c r="S129" s="1" t="s">
        <v>25</v>
      </c>
      <c r="T129" s="54">
        <v>165335.52000000002</v>
      </c>
      <c r="U129" s="54">
        <v>15</v>
      </c>
      <c r="V129" s="54">
        <v>2</v>
      </c>
      <c r="W129" s="54">
        <v>13</v>
      </c>
      <c r="X129" s="54" t="s">
        <v>48</v>
      </c>
      <c r="Y129" s="55">
        <v>0</v>
      </c>
    </row>
    <row r="130" spans="1:25" x14ac:dyDescent="0.3">
      <c r="A130" s="13">
        <v>129</v>
      </c>
      <c r="B130" s="7">
        <v>16</v>
      </c>
      <c r="C130" s="7" t="s">
        <v>14</v>
      </c>
      <c r="D130" s="7" t="s">
        <v>29</v>
      </c>
      <c r="E130" s="1" t="s">
        <v>28</v>
      </c>
      <c r="F130" s="8">
        <v>39.700000000000003</v>
      </c>
      <c r="G130" s="7">
        <v>160</v>
      </c>
      <c r="H130" s="35">
        <f t="shared" si="1"/>
        <v>0.24812500000000001</v>
      </c>
      <c r="I130" s="9">
        <v>120</v>
      </c>
      <c r="J130" s="5">
        <v>130</v>
      </c>
      <c r="K130" s="5">
        <v>80</v>
      </c>
      <c r="L130" s="9">
        <v>24</v>
      </c>
      <c r="M130" s="1"/>
      <c r="N130" s="30">
        <v>9.8000000000000007</v>
      </c>
      <c r="O130" s="7">
        <v>36</v>
      </c>
      <c r="P130" s="7">
        <v>0.8</v>
      </c>
      <c r="Q130" s="1" t="s">
        <v>24</v>
      </c>
      <c r="R130" s="7" t="s">
        <v>19</v>
      </c>
      <c r="S130" s="1" t="s">
        <v>25</v>
      </c>
      <c r="T130" s="54">
        <v>233266</v>
      </c>
      <c r="U130" s="54">
        <v>9</v>
      </c>
      <c r="V130" s="54">
        <v>3</v>
      </c>
      <c r="W130" s="54">
        <v>6</v>
      </c>
      <c r="X130" s="54" t="s">
        <v>47</v>
      </c>
      <c r="Y130" s="55">
        <v>41600</v>
      </c>
    </row>
    <row r="131" spans="1:25" x14ac:dyDescent="0.3">
      <c r="A131" s="13">
        <v>130</v>
      </c>
      <c r="B131" s="7">
        <v>1</v>
      </c>
      <c r="C131" s="7" t="s">
        <v>14</v>
      </c>
      <c r="D131" s="7" t="s">
        <v>29</v>
      </c>
      <c r="E131" s="1" t="s">
        <v>44</v>
      </c>
      <c r="F131" s="8">
        <v>9.6</v>
      </c>
      <c r="G131" s="7">
        <v>29</v>
      </c>
      <c r="H131" s="35">
        <f t="shared" ref="H131:H194" si="2">F131/G131</f>
        <v>0.33103448275862069</v>
      </c>
      <c r="I131" s="9">
        <v>92</v>
      </c>
      <c r="J131" s="5">
        <v>80</v>
      </c>
      <c r="K131" s="5">
        <v>60</v>
      </c>
      <c r="L131" s="9">
        <v>24</v>
      </c>
      <c r="M131" s="1"/>
      <c r="N131" s="30">
        <v>12.6</v>
      </c>
      <c r="O131" s="7">
        <v>29</v>
      </c>
      <c r="P131" s="7">
        <v>0.3</v>
      </c>
      <c r="Q131" s="1" t="s">
        <v>24</v>
      </c>
      <c r="R131" s="7" t="s">
        <v>19</v>
      </c>
      <c r="S131" s="1" t="s">
        <v>25</v>
      </c>
      <c r="T131" s="54">
        <v>153445</v>
      </c>
      <c r="U131" s="54">
        <v>13</v>
      </c>
      <c r="V131" s="54">
        <v>1</v>
      </c>
      <c r="W131" s="54">
        <v>12</v>
      </c>
      <c r="X131" s="54" t="s">
        <v>48</v>
      </c>
      <c r="Y131" s="55">
        <v>0</v>
      </c>
    </row>
    <row r="132" spans="1:25" x14ac:dyDescent="0.3">
      <c r="A132" s="13">
        <v>131</v>
      </c>
      <c r="B132" s="7">
        <v>14</v>
      </c>
      <c r="C132" s="7" t="s">
        <v>27</v>
      </c>
      <c r="D132" s="7" t="s">
        <v>29</v>
      </c>
      <c r="E132" s="1" t="s">
        <v>28</v>
      </c>
      <c r="F132" s="8">
        <v>36</v>
      </c>
      <c r="G132" s="7">
        <v>160</v>
      </c>
      <c r="H132" s="35">
        <f t="shared" si="2"/>
        <v>0.22500000000000001</v>
      </c>
      <c r="I132" s="9">
        <v>125</v>
      </c>
      <c r="J132" s="5"/>
      <c r="K132" s="5"/>
      <c r="L132" s="9">
        <v>26</v>
      </c>
      <c r="M132" s="1"/>
      <c r="N132" s="30">
        <v>9.6</v>
      </c>
      <c r="O132" s="7">
        <v>33</v>
      </c>
      <c r="P132" s="7">
        <v>0.8</v>
      </c>
      <c r="Q132" s="1" t="s">
        <v>24</v>
      </c>
      <c r="R132" s="7" t="s">
        <v>19</v>
      </c>
      <c r="S132" s="1" t="s">
        <v>25</v>
      </c>
      <c r="T132" s="54">
        <v>135216</v>
      </c>
      <c r="U132" s="54">
        <v>11</v>
      </c>
      <c r="V132" s="54">
        <v>1</v>
      </c>
      <c r="W132" s="54">
        <v>10</v>
      </c>
      <c r="X132" s="54" t="s">
        <v>48</v>
      </c>
      <c r="Y132" s="55">
        <v>0</v>
      </c>
    </row>
    <row r="133" spans="1:25" x14ac:dyDescent="0.3">
      <c r="A133" s="13">
        <v>132</v>
      </c>
      <c r="B133" s="7">
        <v>12</v>
      </c>
      <c r="C133" s="7" t="s">
        <v>27</v>
      </c>
      <c r="D133" s="7" t="s">
        <v>29</v>
      </c>
      <c r="E133" s="1" t="s">
        <v>42</v>
      </c>
      <c r="F133" s="8">
        <v>40.799999999999997</v>
      </c>
      <c r="G133" s="7">
        <v>154</v>
      </c>
      <c r="H133" s="35">
        <f t="shared" si="2"/>
        <v>0.26493506493506491</v>
      </c>
      <c r="I133" s="9">
        <v>84</v>
      </c>
      <c r="J133" s="5"/>
      <c r="K133" s="5"/>
      <c r="L133" s="9">
        <v>20</v>
      </c>
      <c r="M133" s="1"/>
      <c r="N133" s="30">
        <v>11.7</v>
      </c>
      <c r="O133" s="7">
        <v>18</v>
      </c>
      <c r="P133" s="7">
        <v>0.7</v>
      </c>
      <c r="Q133" s="1" t="s">
        <v>24</v>
      </c>
      <c r="R133" s="7" t="s">
        <v>19</v>
      </c>
      <c r="S133" s="1" t="s">
        <v>25</v>
      </c>
      <c r="T133" s="54">
        <v>117185</v>
      </c>
      <c r="U133" s="54">
        <v>7</v>
      </c>
      <c r="V133" s="54">
        <v>1</v>
      </c>
      <c r="W133" s="54">
        <v>6</v>
      </c>
      <c r="X133" s="54" t="s">
        <v>48</v>
      </c>
      <c r="Y133" s="55">
        <v>0</v>
      </c>
    </row>
    <row r="134" spans="1:25" x14ac:dyDescent="0.3">
      <c r="A134" s="13">
        <v>133</v>
      </c>
      <c r="B134" s="7">
        <v>16</v>
      </c>
      <c r="C134" s="7" t="s">
        <v>27</v>
      </c>
      <c r="D134" s="7" t="s">
        <v>29</v>
      </c>
      <c r="E134" s="1"/>
      <c r="F134" s="8">
        <v>45</v>
      </c>
      <c r="G134" s="7">
        <v>163</v>
      </c>
      <c r="H134" s="35">
        <f t="shared" si="2"/>
        <v>0.27607361963190186</v>
      </c>
      <c r="I134" s="9">
        <v>85</v>
      </c>
      <c r="J134" s="5">
        <v>120</v>
      </c>
      <c r="K134" s="5">
        <v>80</v>
      </c>
      <c r="L134" s="9">
        <v>20</v>
      </c>
      <c r="M134" s="1" t="s">
        <v>31</v>
      </c>
      <c r="N134" s="30">
        <v>13.1</v>
      </c>
      <c r="O134" s="7">
        <v>24</v>
      </c>
      <c r="P134" s="7">
        <v>0.5</v>
      </c>
      <c r="Q134" s="1" t="s">
        <v>24</v>
      </c>
      <c r="R134" s="7" t="s">
        <v>19</v>
      </c>
      <c r="S134" s="1" t="s">
        <v>25</v>
      </c>
      <c r="T134" s="54">
        <v>108989</v>
      </c>
      <c r="U134" s="54">
        <v>9</v>
      </c>
      <c r="V134" s="54">
        <v>1</v>
      </c>
      <c r="W134" s="54">
        <v>8</v>
      </c>
      <c r="X134" s="54" t="s">
        <v>48</v>
      </c>
      <c r="Y134" s="55">
        <v>0</v>
      </c>
    </row>
    <row r="135" spans="1:25" x14ac:dyDescent="0.3">
      <c r="A135" s="13">
        <v>134</v>
      </c>
      <c r="B135" s="7">
        <v>12</v>
      </c>
      <c r="C135" s="7" t="s">
        <v>27</v>
      </c>
      <c r="D135" s="7" t="s">
        <v>29</v>
      </c>
      <c r="E135" s="1" t="s">
        <v>16</v>
      </c>
      <c r="F135" s="8">
        <v>32.4</v>
      </c>
      <c r="G135" s="7">
        <v>151</v>
      </c>
      <c r="H135" s="35">
        <f t="shared" si="2"/>
        <v>0.21456953642384105</v>
      </c>
      <c r="I135" s="9">
        <v>102</v>
      </c>
      <c r="J135" s="5">
        <v>180</v>
      </c>
      <c r="K135" s="5">
        <v>130</v>
      </c>
      <c r="L135" s="9">
        <v>24</v>
      </c>
      <c r="M135" s="1"/>
      <c r="N135" s="30">
        <v>17.8</v>
      </c>
      <c r="O135" s="7">
        <v>15</v>
      </c>
      <c r="P135" s="7">
        <v>0.4</v>
      </c>
      <c r="Q135" s="1" t="s">
        <v>24</v>
      </c>
      <c r="R135" s="7" t="s">
        <v>19</v>
      </c>
      <c r="S135" s="1" t="s">
        <v>25</v>
      </c>
      <c r="T135" s="54">
        <v>148652</v>
      </c>
      <c r="U135" s="54">
        <v>8</v>
      </c>
      <c r="V135" s="54">
        <v>2</v>
      </c>
      <c r="W135" s="54">
        <v>6</v>
      </c>
      <c r="X135" s="54" t="s">
        <v>48</v>
      </c>
      <c r="Y135" s="55">
        <v>0</v>
      </c>
    </row>
    <row r="136" spans="1:25" x14ac:dyDescent="0.3">
      <c r="A136" s="13">
        <v>135</v>
      </c>
      <c r="B136" s="7">
        <v>2</v>
      </c>
      <c r="C136" s="7" t="s">
        <v>27</v>
      </c>
      <c r="D136" s="7" t="s">
        <v>29</v>
      </c>
      <c r="E136" s="1" t="s">
        <v>42</v>
      </c>
      <c r="F136" s="8">
        <v>7.4</v>
      </c>
      <c r="G136" s="7">
        <v>77</v>
      </c>
      <c r="H136" s="35">
        <f t="shared" si="2"/>
        <v>9.6103896103896108E-2</v>
      </c>
      <c r="I136" s="9">
        <v>126</v>
      </c>
      <c r="J136" s="5">
        <v>99</v>
      </c>
      <c r="K136" s="5">
        <v>57</v>
      </c>
      <c r="L136" s="9">
        <v>30</v>
      </c>
      <c r="M136" s="1" t="s">
        <v>40</v>
      </c>
      <c r="N136" s="30">
        <v>11.4</v>
      </c>
      <c r="O136" s="7">
        <v>40</v>
      </c>
      <c r="P136" s="7">
        <v>0.4</v>
      </c>
      <c r="Q136" s="1" t="s">
        <v>24</v>
      </c>
      <c r="R136" s="7" t="s">
        <v>19</v>
      </c>
      <c r="S136" s="1" t="s">
        <v>25</v>
      </c>
      <c r="T136" s="54">
        <v>79302</v>
      </c>
      <c r="U136" s="54">
        <v>8</v>
      </c>
      <c r="V136" s="54">
        <v>2</v>
      </c>
      <c r="W136" s="54">
        <v>6</v>
      </c>
      <c r="X136" s="54" t="s">
        <v>48</v>
      </c>
      <c r="Y136" s="55">
        <v>0</v>
      </c>
    </row>
    <row r="137" spans="1:25" ht="26.4" x14ac:dyDescent="0.3">
      <c r="A137" s="13">
        <v>136</v>
      </c>
      <c r="B137" s="7">
        <v>6</v>
      </c>
      <c r="C137" s="7" t="s">
        <v>14</v>
      </c>
      <c r="D137" s="7" t="s">
        <v>29</v>
      </c>
      <c r="E137" s="1" t="s">
        <v>41</v>
      </c>
      <c r="F137" s="8">
        <v>16.399999999999999</v>
      </c>
      <c r="G137" s="7">
        <v>105</v>
      </c>
      <c r="H137" s="35">
        <f t="shared" si="2"/>
        <v>0.15619047619047619</v>
      </c>
      <c r="I137" s="9">
        <v>110</v>
      </c>
      <c r="J137" s="5">
        <v>100</v>
      </c>
      <c r="K137" s="5">
        <v>60</v>
      </c>
      <c r="L137" s="9">
        <v>20</v>
      </c>
      <c r="M137" s="1" t="s">
        <v>31</v>
      </c>
      <c r="N137" s="30">
        <v>19.399999999999999</v>
      </c>
      <c r="O137" s="7">
        <v>21</v>
      </c>
      <c r="P137" s="7">
        <v>0.3</v>
      </c>
      <c r="Q137" s="1" t="s">
        <v>24</v>
      </c>
      <c r="R137" s="7" t="s">
        <v>19</v>
      </c>
      <c r="S137" s="1" t="s">
        <v>25</v>
      </c>
      <c r="T137" s="54">
        <v>147132</v>
      </c>
      <c r="U137" s="54">
        <v>9</v>
      </c>
      <c r="V137" s="54">
        <v>1</v>
      </c>
      <c r="W137" s="54">
        <v>8</v>
      </c>
      <c r="X137" s="54" t="s">
        <v>48</v>
      </c>
      <c r="Y137" s="55">
        <v>0</v>
      </c>
    </row>
    <row r="138" spans="1:25" x14ac:dyDescent="0.3">
      <c r="A138" s="13">
        <v>137</v>
      </c>
      <c r="B138" s="7">
        <v>5</v>
      </c>
      <c r="C138" s="7" t="s">
        <v>14</v>
      </c>
      <c r="D138" s="7" t="s">
        <v>29</v>
      </c>
      <c r="E138" s="1" t="s">
        <v>42</v>
      </c>
      <c r="F138" s="8">
        <v>15</v>
      </c>
      <c r="G138" s="7">
        <v>105</v>
      </c>
      <c r="H138" s="35">
        <f t="shared" si="2"/>
        <v>0.14285714285714285</v>
      </c>
      <c r="I138" s="9">
        <v>124</v>
      </c>
      <c r="J138" s="5">
        <v>109</v>
      </c>
      <c r="K138" s="5">
        <v>71</v>
      </c>
      <c r="L138" s="9">
        <v>26</v>
      </c>
      <c r="M138" s="1"/>
      <c r="N138" s="30">
        <v>10</v>
      </c>
      <c r="O138" s="7">
        <v>32</v>
      </c>
      <c r="P138" s="7">
        <v>0.3</v>
      </c>
      <c r="Q138" s="1" t="s">
        <v>24</v>
      </c>
      <c r="R138" s="7" t="s">
        <v>19</v>
      </c>
      <c r="S138" s="1" t="s">
        <v>25</v>
      </c>
      <c r="T138" s="54">
        <v>131738.27000000002</v>
      </c>
      <c r="U138" s="54">
        <v>8</v>
      </c>
      <c r="V138" s="54">
        <v>1</v>
      </c>
      <c r="W138" s="54">
        <v>7</v>
      </c>
      <c r="X138" s="54" t="s">
        <v>48</v>
      </c>
      <c r="Y138" s="55">
        <v>0</v>
      </c>
    </row>
    <row r="139" spans="1:25" ht="26.4" x14ac:dyDescent="0.3">
      <c r="A139" s="13">
        <v>138</v>
      </c>
      <c r="B139" s="7">
        <v>8</v>
      </c>
      <c r="C139" s="7" t="s">
        <v>27</v>
      </c>
      <c r="D139" s="7" t="s">
        <v>29</v>
      </c>
      <c r="E139" s="1" t="s">
        <v>41</v>
      </c>
      <c r="F139" s="8">
        <v>21.3</v>
      </c>
      <c r="G139" s="7">
        <v>127</v>
      </c>
      <c r="H139" s="35">
        <f t="shared" si="2"/>
        <v>0.16771653543307088</v>
      </c>
      <c r="I139" s="9">
        <v>110</v>
      </c>
      <c r="J139" s="5">
        <v>100</v>
      </c>
      <c r="K139" s="5">
        <v>60</v>
      </c>
      <c r="L139" s="9">
        <v>24</v>
      </c>
      <c r="M139" s="1"/>
      <c r="N139" s="30">
        <v>18.5</v>
      </c>
      <c r="O139" s="7">
        <v>15</v>
      </c>
      <c r="P139" s="7">
        <v>0.3</v>
      </c>
      <c r="Q139" s="1" t="s">
        <v>24</v>
      </c>
      <c r="R139" s="7" t="s">
        <v>19</v>
      </c>
      <c r="S139" s="1" t="s">
        <v>25</v>
      </c>
      <c r="T139" s="54">
        <v>146355</v>
      </c>
      <c r="U139" s="54">
        <v>11</v>
      </c>
      <c r="V139" s="54">
        <v>2</v>
      </c>
      <c r="W139" s="54">
        <v>9</v>
      </c>
      <c r="X139" s="54" t="s">
        <v>48</v>
      </c>
      <c r="Y139" s="55">
        <v>0</v>
      </c>
    </row>
    <row r="140" spans="1:25" x14ac:dyDescent="0.3">
      <c r="A140" s="13">
        <v>139</v>
      </c>
      <c r="B140" s="7">
        <v>11</v>
      </c>
      <c r="C140" s="7" t="s">
        <v>14</v>
      </c>
      <c r="D140" s="7" t="s">
        <v>29</v>
      </c>
      <c r="E140" s="1" t="s">
        <v>16</v>
      </c>
      <c r="F140" s="8">
        <v>16.3</v>
      </c>
      <c r="G140" s="7">
        <v>120</v>
      </c>
      <c r="H140" s="35">
        <f t="shared" si="2"/>
        <v>0.13583333333333333</v>
      </c>
      <c r="I140" s="9">
        <v>98</v>
      </c>
      <c r="J140" s="5">
        <v>90</v>
      </c>
      <c r="K140" s="5">
        <v>50</v>
      </c>
      <c r="L140" s="9">
        <v>24</v>
      </c>
      <c r="M140" s="1"/>
      <c r="N140" s="30">
        <v>20.100000000000001</v>
      </c>
      <c r="O140" s="7">
        <v>29</v>
      </c>
      <c r="P140" s="7">
        <v>0.3</v>
      </c>
      <c r="Q140" s="1" t="s">
        <v>24</v>
      </c>
      <c r="R140" s="7" t="s">
        <v>19</v>
      </c>
      <c r="S140" s="1" t="s">
        <v>25</v>
      </c>
      <c r="T140" s="54">
        <v>97060.800000000003</v>
      </c>
      <c r="U140" s="54">
        <v>10</v>
      </c>
      <c r="V140" s="54">
        <v>1</v>
      </c>
      <c r="W140" s="54">
        <v>9</v>
      </c>
      <c r="X140" s="54" t="s">
        <v>48</v>
      </c>
      <c r="Y140" s="55">
        <v>0</v>
      </c>
    </row>
    <row r="141" spans="1:25" x14ac:dyDescent="0.3">
      <c r="A141" s="13">
        <v>140</v>
      </c>
      <c r="B141" s="7">
        <v>55</v>
      </c>
      <c r="C141" s="7" t="s">
        <v>27</v>
      </c>
      <c r="D141" s="7" t="s">
        <v>15</v>
      </c>
      <c r="E141" s="1" t="s">
        <v>16</v>
      </c>
      <c r="F141" s="8">
        <v>60</v>
      </c>
      <c r="G141" s="7">
        <v>160</v>
      </c>
      <c r="H141" s="35">
        <f t="shared" si="2"/>
        <v>0.375</v>
      </c>
      <c r="I141" s="9">
        <v>92</v>
      </c>
      <c r="J141" s="5">
        <v>150</v>
      </c>
      <c r="K141" s="5">
        <v>80</v>
      </c>
      <c r="L141" s="9">
        <v>20</v>
      </c>
      <c r="M141" s="1" t="s">
        <v>32</v>
      </c>
      <c r="N141" s="30">
        <v>7.7</v>
      </c>
      <c r="O141" s="7">
        <v>24</v>
      </c>
      <c r="P141" s="7">
        <v>0.7</v>
      </c>
      <c r="Q141" s="1" t="s">
        <v>24</v>
      </c>
      <c r="R141" s="7" t="s">
        <v>19</v>
      </c>
      <c r="S141" s="1" t="s">
        <v>25</v>
      </c>
      <c r="T141" s="54">
        <v>84002.5</v>
      </c>
      <c r="U141" s="54">
        <v>7</v>
      </c>
      <c r="V141" s="54">
        <v>1</v>
      </c>
      <c r="W141" s="54">
        <v>6</v>
      </c>
      <c r="X141" s="54" t="s">
        <v>48</v>
      </c>
      <c r="Y141" s="55">
        <v>0</v>
      </c>
    </row>
    <row r="142" spans="1:25" x14ac:dyDescent="0.3">
      <c r="A142" s="13">
        <v>141</v>
      </c>
      <c r="B142" s="7">
        <v>1</v>
      </c>
      <c r="C142" s="7" t="s">
        <v>14</v>
      </c>
      <c r="D142" s="7" t="s">
        <v>29</v>
      </c>
      <c r="E142" s="1" t="s">
        <v>16</v>
      </c>
      <c r="F142" s="8">
        <v>8</v>
      </c>
      <c r="G142" s="7">
        <v>72</v>
      </c>
      <c r="H142" s="35">
        <f t="shared" si="2"/>
        <v>0.1111111111111111</v>
      </c>
      <c r="I142" s="9">
        <v>120</v>
      </c>
      <c r="J142" s="5">
        <v>70</v>
      </c>
      <c r="K142" s="5">
        <v>50</v>
      </c>
      <c r="L142" s="9">
        <v>24</v>
      </c>
      <c r="M142" s="1" t="s">
        <v>31</v>
      </c>
      <c r="N142" s="30">
        <v>18.600000000000001</v>
      </c>
      <c r="O142" s="7">
        <v>15</v>
      </c>
      <c r="P142" s="7">
        <v>0.3</v>
      </c>
      <c r="Q142" s="1" t="s">
        <v>24</v>
      </c>
      <c r="R142" s="7" t="s">
        <v>19</v>
      </c>
      <c r="S142" s="1" t="s">
        <v>25</v>
      </c>
      <c r="T142" s="54">
        <v>106070</v>
      </c>
      <c r="U142" s="54">
        <v>10</v>
      </c>
      <c r="V142" s="54">
        <v>1</v>
      </c>
      <c r="W142" s="54">
        <v>9</v>
      </c>
      <c r="X142" s="54" t="s">
        <v>48</v>
      </c>
      <c r="Y142" s="55">
        <v>0</v>
      </c>
    </row>
    <row r="143" spans="1:25" x14ac:dyDescent="0.3">
      <c r="A143" s="13">
        <v>142</v>
      </c>
      <c r="B143" s="7">
        <v>14</v>
      </c>
      <c r="C143" s="7" t="s">
        <v>27</v>
      </c>
      <c r="D143" s="7" t="s">
        <v>29</v>
      </c>
      <c r="E143" s="1" t="s">
        <v>43</v>
      </c>
      <c r="F143" s="8">
        <v>37</v>
      </c>
      <c r="G143" s="7">
        <v>155</v>
      </c>
      <c r="H143" s="35">
        <f t="shared" si="2"/>
        <v>0.23870967741935484</v>
      </c>
      <c r="I143" s="9">
        <v>84</v>
      </c>
      <c r="J143" s="5">
        <v>90</v>
      </c>
      <c r="K143" s="5">
        <v>60</v>
      </c>
      <c r="L143" s="9">
        <v>22</v>
      </c>
      <c r="M143" s="1"/>
      <c r="N143" s="30">
        <v>10.5</v>
      </c>
      <c r="O143" s="7">
        <v>16</v>
      </c>
      <c r="P143" s="7">
        <v>0.4</v>
      </c>
      <c r="Q143" s="1" t="s">
        <v>24</v>
      </c>
      <c r="R143" s="7" t="s">
        <v>19</v>
      </c>
      <c r="S143" s="1" t="s">
        <v>25</v>
      </c>
      <c r="T143" s="54">
        <v>123187.9</v>
      </c>
      <c r="U143" s="54">
        <v>7</v>
      </c>
      <c r="V143" s="54">
        <v>2</v>
      </c>
      <c r="W143" s="54">
        <v>6</v>
      </c>
      <c r="X143" s="54" t="s">
        <v>48</v>
      </c>
      <c r="Y143" s="55">
        <v>0</v>
      </c>
    </row>
    <row r="144" spans="1:25" x14ac:dyDescent="0.3">
      <c r="A144" s="13">
        <v>143</v>
      </c>
      <c r="B144" s="7">
        <v>6</v>
      </c>
      <c r="C144" s="7" t="s">
        <v>27</v>
      </c>
      <c r="D144" s="7" t="s">
        <v>29</v>
      </c>
      <c r="E144" s="1" t="s">
        <v>16</v>
      </c>
      <c r="F144" s="8">
        <v>18</v>
      </c>
      <c r="G144" s="7">
        <v>120</v>
      </c>
      <c r="H144" s="35">
        <f t="shared" si="2"/>
        <v>0.15</v>
      </c>
      <c r="I144" s="9">
        <v>82</v>
      </c>
      <c r="J144" s="5">
        <v>113</v>
      </c>
      <c r="K144" s="5">
        <v>73</v>
      </c>
      <c r="L144" s="9">
        <v>24</v>
      </c>
      <c r="M144" s="1"/>
      <c r="N144" s="30">
        <v>11</v>
      </c>
      <c r="O144" s="7"/>
      <c r="P144" s="7"/>
      <c r="Q144" s="1" t="s">
        <v>24</v>
      </c>
      <c r="R144" s="7" t="s">
        <v>19</v>
      </c>
      <c r="S144" s="1" t="s">
        <v>25</v>
      </c>
      <c r="T144" s="54">
        <v>120367.81</v>
      </c>
      <c r="U144" s="54">
        <v>7</v>
      </c>
      <c r="V144" s="54">
        <v>1</v>
      </c>
      <c r="W144" s="54">
        <v>6</v>
      </c>
      <c r="X144" s="54" t="s">
        <v>48</v>
      </c>
      <c r="Y144" s="55">
        <v>0</v>
      </c>
    </row>
    <row r="145" spans="1:25" ht="26.4" x14ac:dyDescent="0.3">
      <c r="A145" s="13">
        <v>144</v>
      </c>
      <c r="B145" s="7">
        <v>8</v>
      </c>
      <c r="C145" s="7" t="s">
        <v>14</v>
      </c>
      <c r="D145" s="7" t="s">
        <v>29</v>
      </c>
      <c r="E145" s="1" t="s">
        <v>41</v>
      </c>
      <c r="F145" s="8">
        <v>22</v>
      </c>
      <c r="G145" s="7">
        <v>130</v>
      </c>
      <c r="H145" s="35">
        <f t="shared" si="2"/>
        <v>0.16923076923076924</v>
      </c>
      <c r="I145" s="9">
        <v>98</v>
      </c>
      <c r="J145" s="5">
        <v>101</v>
      </c>
      <c r="K145" s="5">
        <v>70</v>
      </c>
      <c r="L145" s="9">
        <v>24</v>
      </c>
      <c r="M145" s="1" t="s">
        <v>40</v>
      </c>
      <c r="N145" s="30">
        <v>12.8</v>
      </c>
      <c r="O145" s="7">
        <v>28</v>
      </c>
      <c r="P145" s="7">
        <v>0.7</v>
      </c>
      <c r="Q145" s="1" t="s">
        <v>24</v>
      </c>
      <c r="R145" s="7" t="s">
        <v>19</v>
      </c>
      <c r="S145" s="1" t="s">
        <v>25</v>
      </c>
      <c r="T145" s="54">
        <v>140372</v>
      </c>
      <c r="U145" s="54">
        <v>7</v>
      </c>
      <c r="V145" s="54">
        <v>2</v>
      </c>
      <c r="W145" s="54">
        <v>5</v>
      </c>
      <c r="X145" s="54" t="s">
        <v>48</v>
      </c>
      <c r="Y145" s="55">
        <v>0</v>
      </c>
    </row>
    <row r="146" spans="1:25" x14ac:dyDescent="0.3">
      <c r="A146" s="13">
        <v>145</v>
      </c>
      <c r="B146" s="7">
        <v>8</v>
      </c>
      <c r="C146" s="7" t="s">
        <v>14</v>
      </c>
      <c r="D146" s="7" t="s">
        <v>29</v>
      </c>
      <c r="E146" s="1" t="s">
        <v>16</v>
      </c>
      <c r="F146" s="8">
        <v>18.399999999999999</v>
      </c>
      <c r="G146" s="7">
        <v>112</v>
      </c>
      <c r="H146" s="35">
        <f t="shared" si="2"/>
        <v>0.16428571428571428</v>
      </c>
      <c r="I146" s="9">
        <v>100</v>
      </c>
      <c r="J146" s="5">
        <v>120</v>
      </c>
      <c r="K146" s="5">
        <v>80</v>
      </c>
      <c r="L146" s="9">
        <v>30</v>
      </c>
      <c r="M146" s="1"/>
      <c r="N146" s="30">
        <v>25.7</v>
      </c>
      <c r="O146" s="7">
        <v>45</v>
      </c>
      <c r="P146" s="7">
        <v>0.4</v>
      </c>
      <c r="Q146" s="1" t="s">
        <v>24</v>
      </c>
      <c r="R146" s="7" t="s">
        <v>19</v>
      </c>
      <c r="S146" s="1" t="s">
        <v>25</v>
      </c>
      <c r="T146" s="54">
        <v>102852</v>
      </c>
      <c r="U146" s="54">
        <v>13</v>
      </c>
      <c r="V146" s="54">
        <v>1</v>
      </c>
      <c r="W146" s="54">
        <v>12</v>
      </c>
      <c r="X146" s="54" t="s">
        <v>48</v>
      </c>
      <c r="Y146" s="55">
        <v>0</v>
      </c>
    </row>
    <row r="147" spans="1:25" x14ac:dyDescent="0.3">
      <c r="A147" s="13">
        <v>146</v>
      </c>
      <c r="B147" s="7">
        <v>1</v>
      </c>
      <c r="C147" s="7" t="s">
        <v>27</v>
      </c>
      <c r="D147" s="7" t="s">
        <v>29</v>
      </c>
      <c r="E147" s="1" t="s">
        <v>16</v>
      </c>
      <c r="F147" s="8">
        <v>6.8</v>
      </c>
      <c r="G147" s="7">
        <v>68</v>
      </c>
      <c r="H147" s="35">
        <f t="shared" si="2"/>
        <v>9.9999999999999992E-2</v>
      </c>
      <c r="I147" s="9">
        <v>112</v>
      </c>
      <c r="J147" s="5">
        <v>80</v>
      </c>
      <c r="K147" s="5">
        <v>50</v>
      </c>
      <c r="L147" s="9">
        <v>24</v>
      </c>
      <c r="M147" s="1"/>
      <c r="N147" s="30">
        <v>12.4</v>
      </c>
      <c r="O147" s="7">
        <v>15</v>
      </c>
      <c r="P147" s="7">
        <v>0.3</v>
      </c>
      <c r="Q147" s="1" t="s">
        <v>24</v>
      </c>
      <c r="R147" s="7" t="s">
        <v>19</v>
      </c>
      <c r="S147" s="1" t="s">
        <v>25</v>
      </c>
      <c r="T147" s="54">
        <v>154669</v>
      </c>
      <c r="U147" s="54">
        <v>12</v>
      </c>
      <c r="V147" s="54">
        <v>2</v>
      </c>
      <c r="W147" s="54">
        <v>10</v>
      </c>
      <c r="X147" s="54" t="s">
        <v>48</v>
      </c>
      <c r="Y147" s="55">
        <v>0</v>
      </c>
    </row>
    <row r="148" spans="1:25" x14ac:dyDescent="0.3">
      <c r="A148" s="13">
        <v>147</v>
      </c>
      <c r="B148" s="7">
        <v>8</v>
      </c>
      <c r="C148" s="7" t="s">
        <v>14</v>
      </c>
      <c r="D148" s="7" t="s">
        <v>29</v>
      </c>
      <c r="E148" s="1" t="s">
        <v>43</v>
      </c>
      <c r="F148" s="8">
        <v>24</v>
      </c>
      <c r="G148" s="7">
        <v>126</v>
      </c>
      <c r="H148" s="35">
        <f t="shared" si="2"/>
        <v>0.19047619047619047</v>
      </c>
      <c r="I148" s="9">
        <v>100</v>
      </c>
      <c r="J148" s="5">
        <v>90</v>
      </c>
      <c r="K148" s="5">
        <v>60</v>
      </c>
      <c r="L148" s="9">
        <v>24</v>
      </c>
      <c r="M148" s="1"/>
      <c r="N148" s="30">
        <v>14.8</v>
      </c>
      <c r="O148" s="7">
        <v>25</v>
      </c>
      <c r="P148" s="7">
        <v>0.4</v>
      </c>
      <c r="Q148" s="1" t="s">
        <v>24</v>
      </c>
      <c r="R148" s="7" t="s">
        <v>19</v>
      </c>
      <c r="S148" s="1" t="s">
        <v>25</v>
      </c>
      <c r="T148" s="54">
        <v>115935.54000000001</v>
      </c>
      <c r="U148" s="54">
        <v>9</v>
      </c>
      <c r="V148" s="54">
        <v>1</v>
      </c>
      <c r="W148" s="54">
        <v>8</v>
      </c>
      <c r="X148" s="54" t="s">
        <v>48</v>
      </c>
      <c r="Y148" s="55">
        <v>0</v>
      </c>
    </row>
    <row r="149" spans="1:25" x14ac:dyDescent="0.3">
      <c r="A149" s="13">
        <v>148</v>
      </c>
      <c r="B149" s="7">
        <v>10</v>
      </c>
      <c r="C149" s="7" t="s">
        <v>14</v>
      </c>
      <c r="D149" s="7" t="s">
        <v>29</v>
      </c>
      <c r="E149" s="1" t="s">
        <v>42</v>
      </c>
      <c r="F149" s="8">
        <v>22.5</v>
      </c>
      <c r="G149" s="7">
        <v>129</v>
      </c>
      <c r="H149" s="35">
        <f t="shared" si="2"/>
        <v>0.1744186046511628</v>
      </c>
      <c r="I149" s="9">
        <v>108</v>
      </c>
      <c r="J149" s="5">
        <v>121</v>
      </c>
      <c r="K149" s="5">
        <v>91</v>
      </c>
      <c r="L149" s="9">
        <v>28</v>
      </c>
      <c r="M149" s="1"/>
      <c r="N149" s="30">
        <v>11.9</v>
      </c>
      <c r="O149" s="7">
        <v>20</v>
      </c>
      <c r="P149" s="7">
        <v>0.3</v>
      </c>
      <c r="Q149" s="1" t="s">
        <v>24</v>
      </c>
      <c r="R149" s="7" t="s">
        <v>19</v>
      </c>
      <c r="S149" s="1" t="s">
        <v>25</v>
      </c>
      <c r="T149" s="54">
        <v>113706.2</v>
      </c>
      <c r="U149" s="54">
        <v>6</v>
      </c>
      <c r="V149" s="54">
        <v>0</v>
      </c>
      <c r="W149" s="54">
        <v>6</v>
      </c>
      <c r="X149" s="54" t="s">
        <v>48</v>
      </c>
      <c r="Y149" s="55">
        <v>0</v>
      </c>
    </row>
    <row r="150" spans="1:25" ht="26.4" x14ac:dyDescent="0.3">
      <c r="A150" s="13">
        <v>149</v>
      </c>
      <c r="B150" s="7">
        <v>6</v>
      </c>
      <c r="C150" s="7" t="s">
        <v>14</v>
      </c>
      <c r="D150" s="7" t="s">
        <v>29</v>
      </c>
      <c r="E150" s="1" t="s">
        <v>41</v>
      </c>
      <c r="F150" s="8">
        <v>18.5</v>
      </c>
      <c r="G150" s="7">
        <v>111</v>
      </c>
      <c r="H150" s="35">
        <f t="shared" si="2"/>
        <v>0.16666666666666666</v>
      </c>
      <c r="I150" s="9">
        <v>90</v>
      </c>
      <c r="J150" s="5">
        <v>120</v>
      </c>
      <c r="K150" s="5">
        <v>80</v>
      </c>
      <c r="L150" s="9">
        <v>28</v>
      </c>
      <c r="M150" s="1"/>
      <c r="N150" s="30">
        <v>15.9</v>
      </c>
      <c r="O150" s="7">
        <v>16</v>
      </c>
      <c r="P150" s="7">
        <v>0.3</v>
      </c>
      <c r="Q150" s="1" t="s">
        <v>24</v>
      </c>
      <c r="R150" s="7" t="s">
        <v>19</v>
      </c>
      <c r="S150" s="1" t="s">
        <v>25</v>
      </c>
      <c r="T150" s="54">
        <v>138769.38</v>
      </c>
      <c r="U150" s="54">
        <v>8</v>
      </c>
      <c r="V150" s="54">
        <v>1</v>
      </c>
      <c r="W150" s="54">
        <v>7</v>
      </c>
      <c r="X150" s="54" t="s">
        <v>48</v>
      </c>
      <c r="Y150" s="55">
        <v>0</v>
      </c>
    </row>
    <row r="151" spans="1:25" x14ac:dyDescent="0.3">
      <c r="A151" s="13">
        <v>150</v>
      </c>
      <c r="B151" s="7">
        <v>5</v>
      </c>
      <c r="C151" s="7" t="s">
        <v>27</v>
      </c>
      <c r="D151" s="7" t="s">
        <v>29</v>
      </c>
      <c r="E151" s="1" t="s">
        <v>16</v>
      </c>
      <c r="F151" s="8">
        <v>14.3</v>
      </c>
      <c r="G151" s="7">
        <v>109</v>
      </c>
      <c r="H151" s="35">
        <f t="shared" si="2"/>
        <v>0.13119266055045872</v>
      </c>
      <c r="I151" s="9">
        <v>101</v>
      </c>
      <c r="J151" s="5">
        <v>112</v>
      </c>
      <c r="K151" s="5">
        <v>62</v>
      </c>
      <c r="L151" s="9">
        <v>22</v>
      </c>
      <c r="M151" s="1"/>
      <c r="N151" s="30">
        <v>11.4</v>
      </c>
      <c r="O151" s="7">
        <v>32</v>
      </c>
      <c r="P151" s="7">
        <v>0.4</v>
      </c>
      <c r="Q151" s="1" t="s">
        <v>24</v>
      </c>
      <c r="R151" s="7" t="s">
        <v>19</v>
      </c>
      <c r="S151" s="1" t="s">
        <v>25</v>
      </c>
      <c r="T151" s="54">
        <v>61340</v>
      </c>
      <c r="U151" s="54">
        <v>7</v>
      </c>
      <c r="V151" s="54">
        <v>1</v>
      </c>
      <c r="W151" s="54">
        <v>6</v>
      </c>
      <c r="X151" s="54" t="s">
        <v>48</v>
      </c>
      <c r="Y151" s="55">
        <v>0</v>
      </c>
    </row>
    <row r="152" spans="1:25" x14ac:dyDescent="0.3">
      <c r="A152" s="13">
        <v>151</v>
      </c>
      <c r="B152" s="7">
        <v>6</v>
      </c>
      <c r="C152" s="7" t="s">
        <v>27</v>
      </c>
      <c r="D152" s="7" t="s">
        <v>29</v>
      </c>
      <c r="E152" s="1" t="s">
        <v>42</v>
      </c>
      <c r="F152" s="8">
        <v>17.3</v>
      </c>
      <c r="G152" s="7">
        <v>114</v>
      </c>
      <c r="H152" s="35">
        <f t="shared" si="2"/>
        <v>0.15175438596491228</v>
      </c>
      <c r="I152" s="9">
        <v>88</v>
      </c>
      <c r="J152" s="5">
        <v>90</v>
      </c>
      <c r="K152" s="5">
        <v>50</v>
      </c>
      <c r="L152" s="9">
        <v>24</v>
      </c>
      <c r="M152" s="1"/>
      <c r="N152" s="30">
        <v>10.1</v>
      </c>
      <c r="O152" s="7">
        <v>22</v>
      </c>
      <c r="P152" s="7">
        <v>0.3</v>
      </c>
      <c r="Q152" s="1" t="s">
        <v>24</v>
      </c>
      <c r="R152" s="7" t="s">
        <v>19</v>
      </c>
      <c r="S152" s="1" t="s">
        <v>25</v>
      </c>
      <c r="T152" s="54">
        <v>72374</v>
      </c>
      <c r="U152" s="54">
        <v>12</v>
      </c>
      <c r="V152" s="54">
        <v>1</v>
      </c>
      <c r="W152" s="54">
        <v>11</v>
      </c>
      <c r="X152" s="54" t="s">
        <v>48</v>
      </c>
      <c r="Y152" s="55">
        <v>0</v>
      </c>
    </row>
    <row r="153" spans="1:25" ht="26.4" x14ac:dyDescent="0.3">
      <c r="A153" s="13">
        <v>152</v>
      </c>
      <c r="B153" s="7">
        <v>3</v>
      </c>
      <c r="C153" s="7" t="s">
        <v>14</v>
      </c>
      <c r="D153" s="7" t="s">
        <v>29</v>
      </c>
      <c r="E153" s="1" t="s">
        <v>41</v>
      </c>
      <c r="F153" s="8">
        <v>10.8</v>
      </c>
      <c r="G153" s="7">
        <v>91</v>
      </c>
      <c r="H153" s="35">
        <f t="shared" si="2"/>
        <v>0.11868131868131869</v>
      </c>
      <c r="I153" s="9">
        <v>102</v>
      </c>
      <c r="J153" s="5"/>
      <c r="K153" s="5"/>
      <c r="L153" s="9">
        <v>20</v>
      </c>
      <c r="M153" s="1"/>
      <c r="N153" s="30">
        <v>10.8</v>
      </c>
      <c r="O153" s="7">
        <v>25</v>
      </c>
      <c r="P153" s="7">
        <v>0.4</v>
      </c>
      <c r="Q153" s="1" t="s">
        <v>24</v>
      </c>
      <c r="R153" s="7" t="s">
        <v>19</v>
      </c>
      <c r="S153" s="1" t="s">
        <v>25</v>
      </c>
      <c r="T153" s="54">
        <v>143773.58000000002</v>
      </c>
      <c r="U153" s="54">
        <v>9</v>
      </c>
      <c r="V153" s="54">
        <v>1</v>
      </c>
      <c r="W153" s="54">
        <v>8</v>
      </c>
      <c r="X153" s="54" t="s">
        <v>48</v>
      </c>
      <c r="Y153" s="55">
        <v>0</v>
      </c>
    </row>
    <row r="154" spans="1:25" ht="26.4" x14ac:dyDescent="0.3">
      <c r="A154" s="13">
        <v>153</v>
      </c>
      <c r="B154" s="7">
        <v>2</v>
      </c>
      <c r="C154" s="7" t="s">
        <v>14</v>
      </c>
      <c r="D154" s="7" t="s">
        <v>29</v>
      </c>
      <c r="E154" s="1" t="s">
        <v>41</v>
      </c>
      <c r="F154" s="8">
        <v>11.2</v>
      </c>
      <c r="G154" s="7">
        <v>98</v>
      </c>
      <c r="H154" s="35">
        <f t="shared" si="2"/>
        <v>0.11428571428571428</v>
      </c>
      <c r="I154" s="9">
        <v>128</v>
      </c>
      <c r="J154" s="5">
        <v>120</v>
      </c>
      <c r="K154" s="5">
        <v>80</v>
      </c>
      <c r="L154" s="9">
        <v>24</v>
      </c>
      <c r="M154" s="1"/>
      <c r="N154" s="30">
        <v>12</v>
      </c>
      <c r="O154" s="7">
        <v>27</v>
      </c>
      <c r="P154" s="7">
        <v>0.4</v>
      </c>
      <c r="Q154" s="1" t="s">
        <v>24</v>
      </c>
      <c r="R154" s="7" t="s">
        <v>19</v>
      </c>
      <c r="S154" s="1" t="s">
        <v>25</v>
      </c>
      <c r="T154" s="54">
        <v>142326.04</v>
      </c>
      <c r="U154" s="54">
        <v>7</v>
      </c>
      <c r="V154" s="54">
        <v>1</v>
      </c>
      <c r="W154" s="54">
        <v>6</v>
      </c>
      <c r="X154" s="54" t="s">
        <v>48</v>
      </c>
      <c r="Y154" s="55">
        <v>0</v>
      </c>
    </row>
    <row r="155" spans="1:25" x14ac:dyDescent="0.3">
      <c r="A155" s="13">
        <v>154</v>
      </c>
      <c r="B155" s="7">
        <v>3</v>
      </c>
      <c r="C155" s="7" t="s">
        <v>14</v>
      </c>
      <c r="D155" s="7" t="s">
        <v>29</v>
      </c>
      <c r="E155" s="1" t="s">
        <v>45</v>
      </c>
      <c r="F155" s="8">
        <v>12.5</v>
      </c>
      <c r="G155" s="7">
        <v>93</v>
      </c>
      <c r="H155" s="35">
        <f t="shared" si="2"/>
        <v>0.13440860215053763</v>
      </c>
      <c r="I155" s="9">
        <v>104</v>
      </c>
      <c r="J155" s="5">
        <v>90</v>
      </c>
      <c r="K155" s="5">
        <v>50</v>
      </c>
      <c r="L155" s="9">
        <v>22</v>
      </c>
      <c r="M155" s="1"/>
      <c r="N155" s="30">
        <v>11.1</v>
      </c>
      <c r="O155" s="7">
        <v>28</v>
      </c>
      <c r="P155" s="7">
        <v>0.3</v>
      </c>
      <c r="Q155" s="1" t="s">
        <v>24</v>
      </c>
      <c r="R155" s="7" t="s">
        <v>19</v>
      </c>
      <c r="S155" s="1" t="s">
        <v>25</v>
      </c>
      <c r="T155" s="54">
        <v>140545</v>
      </c>
      <c r="U155" s="54">
        <v>12</v>
      </c>
      <c r="V155" s="54">
        <v>1</v>
      </c>
      <c r="W155" s="54">
        <v>11</v>
      </c>
      <c r="X155" s="54" t="s">
        <v>48</v>
      </c>
      <c r="Y155" s="55">
        <v>0</v>
      </c>
    </row>
    <row r="156" spans="1:25" x14ac:dyDescent="0.3">
      <c r="A156" s="13">
        <v>155</v>
      </c>
      <c r="B156" s="7">
        <v>1</v>
      </c>
      <c r="C156" s="7" t="s">
        <v>27</v>
      </c>
      <c r="D156" s="7" t="s">
        <v>29</v>
      </c>
      <c r="E156" s="1" t="s">
        <v>16</v>
      </c>
      <c r="F156" s="8">
        <v>8.8000000000000007</v>
      </c>
      <c r="G156" s="7">
        <v>78</v>
      </c>
      <c r="H156" s="35">
        <f t="shared" si="2"/>
        <v>0.11282051282051284</v>
      </c>
      <c r="I156" s="9">
        <v>100</v>
      </c>
      <c r="J156" s="5">
        <v>84</v>
      </c>
      <c r="K156" s="5">
        <v>69</v>
      </c>
      <c r="L156" s="9">
        <v>30</v>
      </c>
      <c r="M156" s="1"/>
      <c r="N156" s="30">
        <v>12.6</v>
      </c>
      <c r="O156" s="7">
        <v>19</v>
      </c>
      <c r="P156" s="7">
        <v>0.3</v>
      </c>
      <c r="Q156" s="1" t="s">
        <v>24</v>
      </c>
      <c r="R156" s="7" t="s">
        <v>19</v>
      </c>
      <c r="S156" s="1" t="s">
        <v>25</v>
      </c>
      <c r="T156" s="54">
        <v>57140.85</v>
      </c>
      <c r="U156" s="54">
        <v>8</v>
      </c>
      <c r="V156" s="54">
        <v>1</v>
      </c>
      <c r="W156" s="54">
        <v>7</v>
      </c>
      <c r="X156" s="54" t="s">
        <v>48</v>
      </c>
      <c r="Y156" s="55">
        <v>0</v>
      </c>
    </row>
    <row r="157" spans="1:25" x14ac:dyDescent="0.3">
      <c r="A157" s="13">
        <v>156</v>
      </c>
      <c r="B157" s="7">
        <v>5</v>
      </c>
      <c r="C157" s="7" t="s">
        <v>27</v>
      </c>
      <c r="D157" s="7" t="s">
        <v>29</v>
      </c>
      <c r="E157" s="1" t="s">
        <v>16</v>
      </c>
      <c r="F157" s="8">
        <v>15</v>
      </c>
      <c r="G157" s="7">
        <v>99</v>
      </c>
      <c r="H157" s="35">
        <f t="shared" si="2"/>
        <v>0.15151515151515152</v>
      </c>
      <c r="I157" s="9">
        <v>80</v>
      </c>
      <c r="J157" s="5">
        <v>100</v>
      </c>
      <c r="K157" s="5">
        <v>70</v>
      </c>
      <c r="L157" s="9">
        <v>20</v>
      </c>
      <c r="M157" s="1"/>
      <c r="N157" s="30">
        <v>18.899999999999999</v>
      </c>
      <c r="O157" s="7">
        <v>16</v>
      </c>
      <c r="P157" s="7">
        <v>0.4</v>
      </c>
      <c r="Q157" s="1" t="s">
        <v>24</v>
      </c>
      <c r="R157" s="7" t="s">
        <v>19</v>
      </c>
      <c r="S157" s="1" t="s">
        <v>25</v>
      </c>
      <c r="T157" s="54">
        <v>131727</v>
      </c>
      <c r="U157" s="54">
        <v>8</v>
      </c>
      <c r="V157" s="54">
        <v>1</v>
      </c>
      <c r="W157" s="54">
        <v>7</v>
      </c>
      <c r="X157" s="54" t="s">
        <v>48</v>
      </c>
      <c r="Y157" s="55">
        <v>0</v>
      </c>
    </row>
    <row r="158" spans="1:25" x14ac:dyDescent="0.3">
      <c r="A158" s="13">
        <v>157</v>
      </c>
      <c r="B158" s="7">
        <v>4</v>
      </c>
      <c r="C158" s="7" t="s">
        <v>27</v>
      </c>
      <c r="D158" s="7" t="s">
        <v>29</v>
      </c>
      <c r="E158" s="1" t="s">
        <v>43</v>
      </c>
      <c r="F158" s="8">
        <v>13.4</v>
      </c>
      <c r="G158" s="7">
        <v>27</v>
      </c>
      <c r="H158" s="35">
        <f t="shared" si="2"/>
        <v>0.49629629629629629</v>
      </c>
      <c r="I158" s="9">
        <v>120</v>
      </c>
      <c r="J158" s="5">
        <v>110</v>
      </c>
      <c r="K158" s="5">
        <v>70</v>
      </c>
      <c r="L158" s="9">
        <v>24</v>
      </c>
      <c r="M158" s="1"/>
      <c r="N158" s="30">
        <v>10.4</v>
      </c>
      <c r="O158" s="7">
        <v>18</v>
      </c>
      <c r="P158" s="7">
        <v>0.3</v>
      </c>
      <c r="Q158" s="1" t="s">
        <v>24</v>
      </c>
      <c r="R158" s="7" t="s">
        <v>19</v>
      </c>
      <c r="S158" s="1" t="s">
        <v>25</v>
      </c>
      <c r="T158" s="54">
        <v>132226</v>
      </c>
      <c r="U158" s="54">
        <v>10</v>
      </c>
      <c r="V158" s="54">
        <v>2</v>
      </c>
      <c r="W158" s="54">
        <v>8</v>
      </c>
      <c r="X158" s="54" t="s">
        <v>48</v>
      </c>
      <c r="Y158" s="55">
        <v>0</v>
      </c>
    </row>
    <row r="159" spans="1:25" ht="26.4" x14ac:dyDescent="0.3">
      <c r="A159" s="13">
        <v>158</v>
      </c>
      <c r="B159" s="30">
        <v>3.287671232876712E-2</v>
      </c>
      <c r="C159" s="7" t="s">
        <v>14</v>
      </c>
      <c r="D159" s="7" t="s">
        <v>29</v>
      </c>
      <c r="E159" s="1" t="s">
        <v>34</v>
      </c>
      <c r="F159" s="8">
        <v>2.02</v>
      </c>
      <c r="G159" s="7">
        <v>45</v>
      </c>
      <c r="H159" s="35">
        <f t="shared" si="2"/>
        <v>4.4888888888888888E-2</v>
      </c>
      <c r="I159" s="9">
        <v>120</v>
      </c>
      <c r="J159" s="5"/>
      <c r="K159" s="5"/>
      <c r="L159" s="9">
        <v>32</v>
      </c>
      <c r="M159" s="1"/>
      <c r="N159" s="30">
        <v>18.8</v>
      </c>
      <c r="O159" s="7">
        <v>27</v>
      </c>
      <c r="P159" s="7">
        <v>0.5</v>
      </c>
      <c r="Q159" s="1" t="s">
        <v>24</v>
      </c>
      <c r="R159" s="7" t="s">
        <v>19</v>
      </c>
      <c r="S159" s="1" t="s">
        <v>25</v>
      </c>
      <c r="T159" s="54">
        <v>77241</v>
      </c>
      <c r="U159" s="54">
        <v>7</v>
      </c>
      <c r="V159" s="54">
        <v>1</v>
      </c>
      <c r="W159" s="54">
        <v>6</v>
      </c>
      <c r="X159" s="54" t="s">
        <v>48</v>
      </c>
      <c r="Y159" s="55">
        <v>0</v>
      </c>
    </row>
    <row r="160" spans="1:25" x14ac:dyDescent="0.3">
      <c r="A160" s="13">
        <v>159</v>
      </c>
      <c r="B160" s="7">
        <v>74</v>
      </c>
      <c r="C160" s="7" t="s">
        <v>14</v>
      </c>
      <c r="D160" s="7" t="s">
        <v>15</v>
      </c>
      <c r="E160" s="1" t="s">
        <v>46</v>
      </c>
      <c r="F160" s="8">
        <v>64.3</v>
      </c>
      <c r="G160" s="7">
        <v>155</v>
      </c>
      <c r="H160" s="35">
        <f t="shared" si="2"/>
        <v>0.41483870967741932</v>
      </c>
      <c r="I160" s="9">
        <v>102</v>
      </c>
      <c r="J160" s="5">
        <v>130</v>
      </c>
      <c r="K160" s="5">
        <v>70</v>
      </c>
      <c r="L160" s="9">
        <v>24</v>
      </c>
      <c r="M160" s="1" t="s">
        <v>40</v>
      </c>
      <c r="N160" s="30">
        <v>9.6999999999999993</v>
      </c>
      <c r="O160" s="7">
        <v>111</v>
      </c>
      <c r="P160" s="7">
        <v>1.9</v>
      </c>
      <c r="Q160" s="7" t="s">
        <v>18</v>
      </c>
      <c r="R160" s="7" t="s">
        <v>19</v>
      </c>
      <c r="S160" s="7" t="s">
        <v>20</v>
      </c>
      <c r="T160" s="54">
        <v>55885.7</v>
      </c>
      <c r="U160" s="54">
        <v>8</v>
      </c>
      <c r="V160" s="54">
        <v>2</v>
      </c>
      <c r="W160" s="54">
        <v>6</v>
      </c>
      <c r="X160" s="54" t="s">
        <v>48</v>
      </c>
      <c r="Y160" s="55">
        <v>0</v>
      </c>
    </row>
    <row r="161" spans="1:25" ht="26.4" x14ac:dyDescent="0.3">
      <c r="A161" s="13">
        <v>160</v>
      </c>
      <c r="B161" s="7">
        <v>12</v>
      </c>
      <c r="C161" s="7" t="s">
        <v>14</v>
      </c>
      <c r="D161" s="7" t="s">
        <v>29</v>
      </c>
      <c r="E161" s="1" t="s">
        <v>34</v>
      </c>
      <c r="F161" s="8">
        <v>23.5</v>
      </c>
      <c r="G161" s="7">
        <v>130</v>
      </c>
      <c r="H161" s="35">
        <f t="shared" si="2"/>
        <v>0.18076923076923077</v>
      </c>
      <c r="I161" s="9">
        <v>90</v>
      </c>
      <c r="J161" s="5">
        <v>100</v>
      </c>
      <c r="K161" s="5">
        <v>70</v>
      </c>
      <c r="L161" s="9">
        <v>22</v>
      </c>
      <c r="M161" s="1"/>
      <c r="N161" s="30">
        <v>12.8</v>
      </c>
      <c r="O161" s="7">
        <v>21</v>
      </c>
      <c r="P161" s="7">
        <v>0.3</v>
      </c>
      <c r="Q161" s="1" t="s">
        <v>24</v>
      </c>
      <c r="R161" s="7" t="s">
        <v>19</v>
      </c>
      <c r="S161" s="1" t="s">
        <v>25</v>
      </c>
      <c r="T161" s="54">
        <v>49700</v>
      </c>
      <c r="U161" s="54">
        <v>3</v>
      </c>
      <c r="V161" s="54">
        <v>0</v>
      </c>
      <c r="W161" s="54">
        <v>3</v>
      </c>
      <c r="X161" s="54" t="s">
        <v>48</v>
      </c>
      <c r="Y161" s="55">
        <v>0</v>
      </c>
    </row>
    <row r="162" spans="1:25" x14ac:dyDescent="0.3">
      <c r="A162" s="13">
        <v>161</v>
      </c>
      <c r="B162" s="7">
        <v>6</v>
      </c>
      <c r="C162" s="7" t="s">
        <v>14</v>
      </c>
      <c r="D162" s="7" t="s">
        <v>29</v>
      </c>
      <c r="E162" s="1" t="s">
        <v>28</v>
      </c>
      <c r="F162" s="8">
        <v>17.5</v>
      </c>
      <c r="G162" s="7">
        <v>114</v>
      </c>
      <c r="H162" s="35">
        <f t="shared" si="2"/>
        <v>0.15350877192982457</v>
      </c>
      <c r="I162" s="9">
        <v>102</v>
      </c>
      <c r="J162" s="5">
        <v>100</v>
      </c>
      <c r="K162" s="5">
        <v>60</v>
      </c>
      <c r="L162" s="9">
        <v>28</v>
      </c>
      <c r="M162" s="1"/>
      <c r="N162" s="30">
        <v>12.4</v>
      </c>
      <c r="O162" s="7">
        <v>18</v>
      </c>
      <c r="P162" s="7">
        <v>0.3</v>
      </c>
      <c r="Q162" s="1" t="s">
        <v>24</v>
      </c>
      <c r="R162" s="7" t="s">
        <v>19</v>
      </c>
      <c r="S162" s="1" t="s">
        <v>25</v>
      </c>
      <c r="T162" s="54">
        <v>155352</v>
      </c>
      <c r="U162" s="54">
        <v>11</v>
      </c>
      <c r="V162" s="54">
        <v>2</v>
      </c>
      <c r="W162" s="54">
        <v>9</v>
      </c>
      <c r="X162" s="54" t="s">
        <v>47</v>
      </c>
      <c r="Y162" s="55">
        <v>21498</v>
      </c>
    </row>
    <row r="163" spans="1:25" x14ac:dyDescent="0.3">
      <c r="A163" s="13">
        <v>162</v>
      </c>
      <c r="B163" s="7">
        <v>5</v>
      </c>
      <c r="C163" s="7" t="s">
        <v>14</v>
      </c>
      <c r="D163" s="7" t="s">
        <v>29</v>
      </c>
      <c r="E163" s="1" t="s">
        <v>16</v>
      </c>
      <c r="F163" s="8">
        <v>15</v>
      </c>
      <c r="G163" s="7">
        <v>105</v>
      </c>
      <c r="H163" s="35">
        <f t="shared" si="2"/>
        <v>0.14285714285714285</v>
      </c>
      <c r="I163" s="9">
        <v>110</v>
      </c>
      <c r="J163" s="5"/>
      <c r="K163" s="5"/>
      <c r="L163" s="9">
        <v>32</v>
      </c>
      <c r="M163" s="1"/>
      <c r="N163" s="30">
        <v>12.4</v>
      </c>
      <c r="O163" s="7">
        <v>32</v>
      </c>
      <c r="P163" s="7">
        <v>0.2</v>
      </c>
      <c r="Q163" s="1" t="s">
        <v>24</v>
      </c>
      <c r="R163" s="7" t="s">
        <v>19</v>
      </c>
      <c r="S163" s="1" t="s">
        <v>25</v>
      </c>
      <c r="T163" s="54">
        <v>288614.2</v>
      </c>
      <c r="U163" s="54">
        <v>25</v>
      </c>
      <c r="V163" s="54">
        <v>6</v>
      </c>
      <c r="W163" s="54">
        <v>20</v>
      </c>
      <c r="X163" s="54" t="s">
        <v>48</v>
      </c>
      <c r="Y163" s="55">
        <v>0</v>
      </c>
    </row>
    <row r="164" spans="1:25" x14ac:dyDescent="0.3">
      <c r="A164" s="13">
        <v>163</v>
      </c>
      <c r="B164" s="7">
        <v>6</v>
      </c>
      <c r="C164" s="7" t="s">
        <v>14</v>
      </c>
      <c r="D164" s="7" t="s">
        <v>29</v>
      </c>
      <c r="E164" s="1" t="s">
        <v>16</v>
      </c>
      <c r="F164" s="8">
        <v>13</v>
      </c>
      <c r="G164" s="7">
        <v>39</v>
      </c>
      <c r="H164" s="35">
        <f t="shared" si="2"/>
        <v>0.33333333333333331</v>
      </c>
      <c r="I164" s="9">
        <v>80</v>
      </c>
      <c r="J164" s="5">
        <v>120</v>
      </c>
      <c r="K164" s="5">
        <v>70</v>
      </c>
      <c r="L164" s="9">
        <v>24</v>
      </c>
      <c r="M164" s="1"/>
      <c r="N164" s="30">
        <v>17.899999999999999</v>
      </c>
      <c r="O164" s="7">
        <v>15</v>
      </c>
      <c r="P164" s="7">
        <v>0.3</v>
      </c>
      <c r="Q164" s="1" t="s">
        <v>24</v>
      </c>
      <c r="R164" s="7" t="s">
        <v>19</v>
      </c>
      <c r="S164" s="1" t="s">
        <v>25</v>
      </c>
      <c r="T164" s="54">
        <v>239570.4</v>
      </c>
      <c r="U164" s="54">
        <v>22</v>
      </c>
      <c r="V164" s="54">
        <v>6</v>
      </c>
      <c r="W164" s="54">
        <v>16</v>
      </c>
      <c r="X164" s="54" t="s">
        <v>48</v>
      </c>
      <c r="Y164" s="55">
        <v>0</v>
      </c>
    </row>
    <row r="165" spans="1:25" ht="26.4" x14ac:dyDescent="0.3">
      <c r="A165" s="13">
        <v>164</v>
      </c>
      <c r="B165" s="7">
        <v>13</v>
      </c>
      <c r="C165" s="7" t="s">
        <v>27</v>
      </c>
      <c r="D165" s="7" t="s">
        <v>29</v>
      </c>
      <c r="E165" s="1" t="s">
        <v>41</v>
      </c>
      <c r="F165" s="8">
        <v>31</v>
      </c>
      <c r="G165" s="7">
        <v>145</v>
      </c>
      <c r="H165" s="35">
        <f t="shared" si="2"/>
        <v>0.21379310344827587</v>
      </c>
      <c r="I165" s="9">
        <v>100</v>
      </c>
      <c r="J165" s="5">
        <v>100</v>
      </c>
      <c r="K165" s="5">
        <v>70</v>
      </c>
      <c r="L165" s="9">
        <v>24</v>
      </c>
      <c r="M165" s="1"/>
      <c r="N165" s="30">
        <v>23.2</v>
      </c>
      <c r="O165" s="7">
        <v>30</v>
      </c>
      <c r="P165" s="7">
        <v>0.3</v>
      </c>
      <c r="Q165" s="1" t="s">
        <v>24</v>
      </c>
      <c r="R165" s="7" t="s">
        <v>19</v>
      </c>
      <c r="S165" s="1" t="s">
        <v>25</v>
      </c>
      <c r="T165" s="54">
        <v>170302</v>
      </c>
      <c r="U165" s="54">
        <v>12</v>
      </c>
      <c r="V165" s="54">
        <v>3</v>
      </c>
      <c r="W165" s="54">
        <v>10</v>
      </c>
      <c r="X165" s="54" t="s">
        <v>48</v>
      </c>
      <c r="Y165" s="55">
        <v>0</v>
      </c>
    </row>
    <row r="166" spans="1:25" x14ac:dyDescent="0.3">
      <c r="A166" s="13">
        <v>165</v>
      </c>
      <c r="B166" s="7">
        <v>9</v>
      </c>
      <c r="C166" s="7" t="s">
        <v>27</v>
      </c>
      <c r="D166" s="7" t="s">
        <v>29</v>
      </c>
      <c r="E166" s="1" t="s">
        <v>43</v>
      </c>
      <c r="F166" s="8">
        <v>20</v>
      </c>
      <c r="G166" s="7">
        <v>50</v>
      </c>
      <c r="H166" s="35">
        <f t="shared" si="2"/>
        <v>0.4</v>
      </c>
      <c r="I166" s="9">
        <v>90</v>
      </c>
      <c r="J166" s="5">
        <v>110</v>
      </c>
      <c r="K166" s="5">
        <v>65</v>
      </c>
      <c r="L166" s="9">
        <v>24</v>
      </c>
      <c r="M166" s="1"/>
      <c r="N166" s="30">
        <v>9.9</v>
      </c>
      <c r="O166" s="7">
        <v>18</v>
      </c>
      <c r="P166" s="7">
        <v>0.3</v>
      </c>
      <c r="Q166" s="1" t="s">
        <v>24</v>
      </c>
      <c r="R166" s="7" t="s">
        <v>19</v>
      </c>
      <c r="S166" s="1" t="s">
        <v>25</v>
      </c>
      <c r="T166" s="54">
        <v>141232.16999999998</v>
      </c>
      <c r="U166" s="54">
        <v>12</v>
      </c>
      <c r="V166" s="54">
        <v>1</v>
      </c>
      <c r="W166" s="54">
        <v>12</v>
      </c>
      <c r="X166" s="54" t="s">
        <v>48</v>
      </c>
      <c r="Y166" s="55">
        <v>0</v>
      </c>
    </row>
    <row r="167" spans="1:25" x14ac:dyDescent="0.3">
      <c r="A167" s="13">
        <v>166</v>
      </c>
      <c r="B167" s="7">
        <v>51</v>
      </c>
      <c r="C167" s="7" t="s">
        <v>14</v>
      </c>
      <c r="D167" s="7" t="s">
        <v>15</v>
      </c>
      <c r="E167" s="1" t="s">
        <v>21</v>
      </c>
      <c r="F167" s="8">
        <v>47</v>
      </c>
      <c r="G167" s="7">
        <v>152</v>
      </c>
      <c r="H167" s="35">
        <f t="shared" si="2"/>
        <v>0.30921052631578949</v>
      </c>
      <c r="I167" s="9">
        <v>67</v>
      </c>
      <c r="J167" s="5">
        <v>100</v>
      </c>
      <c r="K167" s="5">
        <v>60</v>
      </c>
      <c r="L167" s="9">
        <v>12</v>
      </c>
      <c r="M167" s="1"/>
      <c r="N167" s="30">
        <v>14.9</v>
      </c>
      <c r="O167" s="7">
        <v>23</v>
      </c>
      <c r="P167" s="7">
        <v>0.6</v>
      </c>
      <c r="Q167" s="1" t="s">
        <v>24</v>
      </c>
      <c r="R167" s="7" t="s">
        <v>19</v>
      </c>
      <c r="S167" s="7" t="s">
        <v>20</v>
      </c>
      <c r="T167" s="54">
        <v>102537.85</v>
      </c>
      <c r="U167" s="54">
        <v>11</v>
      </c>
      <c r="V167" s="54">
        <v>2</v>
      </c>
      <c r="W167" s="54">
        <v>9</v>
      </c>
      <c r="X167" s="54" t="s">
        <v>48</v>
      </c>
      <c r="Y167" s="55">
        <v>0</v>
      </c>
    </row>
    <row r="168" spans="1:25" x14ac:dyDescent="0.3">
      <c r="A168" s="13">
        <v>167</v>
      </c>
      <c r="B168" s="7">
        <v>74</v>
      </c>
      <c r="C168" s="7" t="s">
        <v>14</v>
      </c>
      <c r="D168" s="7" t="s">
        <v>15</v>
      </c>
      <c r="E168" s="1" t="s">
        <v>21</v>
      </c>
      <c r="F168" s="8">
        <v>57.1</v>
      </c>
      <c r="G168" s="7">
        <v>157</v>
      </c>
      <c r="H168" s="35">
        <f t="shared" si="2"/>
        <v>0.3636942675159236</v>
      </c>
      <c r="I168" s="9">
        <v>94</v>
      </c>
      <c r="J168" s="5">
        <v>120</v>
      </c>
      <c r="K168" s="5">
        <v>80</v>
      </c>
      <c r="L168" s="9">
        <v>20</v>
      </c>
      <c r="M168" s="1" t="s">
        <v>31</v>
      </c>
      <c r="N168" s="30">
        <v>11.2</v>
      </c>
      <c r="O168" s="7">
        <v>34</v>
      </c>
      <c r="P168" s="7">
        <v>1.6</v>
      </c>
      <c r="Q168" s="7" t="s">
        <v>18</v>
      </c>
      <c r="R168" s="7" t="s">
        <v>19</v>
      </c>
      <c r="S168" s="7" t="s">
        <v>20</v>
      </c>
      <c r="T168" s="54">
        <v>219126.24</v>
      </c>
      <c r="U168" s="54">
        <v>12</v>
      </c>
      <c r="V168" s="54">
        <v>6</v>
      </c>
      <c r="W168" s="54">
        <v>6</v>
      </c>
      <c r="X168" s="54" t="s">
        <v>48</v>
      </c>
      <c r="Y168" s="55">
        <v>0</v>
      </c>
    </row>
    <row r="169" spans="1:25" x14ac:dyDescent="0.3">
      <c r="A169" s="13">
        <v>168</v>
      </c>
      <c r="B169" s="7">
        <v>27</v>
      </c>
      <c r="C169" s="7" t="s">
        <v>14</v>
      </c>
      <c r="D169" s="7" t="s">
        <v>29</v>
      </c>
      <c r="E169" s="1" t="s">
        <v>28</v>
      </c>
      <c r="F169" s="8">
        <v>60</v>
      </c>
      <c r="G169" s="7">
        <v>166</v>
      </c>
      <c r="H169" s="35">
        <f t="shared" si="2"/>
        <v>0.36144578313253012</v>
      </c>
      <c r="I169" s="9">
        <v>68</v>
      </c>
      <c r="J169" s="5">
        <v>120</v>
      </c>
      <c r="K169" s="5">
        <v>90</v>
      </c>
      <c r="L169" s="9">
        <v>25</v>
      </c>
      <c r="M169" s="1"/>
      <c r="N169" s="30">
        <v>14.9</v>
      </c>
      <c r="O169" s="7">
        <v>21</v>
      </c>
      <c r="P169" s="7">
        <v>0.8</v>
      </c>
      <c r="Q169" s="1" t="s">
        <v>24</v>
      </c>
      <c r="R169" s="7" t="s">
        <v>19</v>
      </c>
      <c r="S169" s="1" t="s">
        <v>25</v>
      </c>
      <c r="T169" s="54">
        <v>204852.36</v>
      </c>
      <c r="U169" s="54">
        <v>10</v>
      </c>
      <c r="V169" s="54">
        <v>2</v>
      </c>
      <c r="W169" s="54">
        <v>9</v>
      </c>
      <c r="X169" s="54" t="s">
        <v>47</v>
      </c>
      <c r="Y169" s="55">
        <v>51450</v>
      </c>
    </row>
    <row r="170" spans="1:25" x14ac:dyDescent="0.3">
      <c r="A170" s="13">
        <v>169</v>
      </c>
      <c r="B170" s="7">
        <v>55</v>
      </c>
      <c r="C170" s="7" t="s">
        <v>14</v>
      </c>
      <c r="D170" s="7" t="s">
        <v>15</v>
      </c>
      <c r="E170" s="1" t="s">
        <v>21</v>
      </c>
      <c r="F170" s="8">
        <v>64.900000000000006</v>
      </c>
      <c r="G170" s="7">
        <v>167</v>
      </c>
      <c r="H170" s="35">
        <f t="shared" si="2"/>
        <v>0.38862275449101802</v>
      </c>
      <c r="I170" s="9">
        <v>74</v>
      </c>
      <c r="J170" s="5">
        <v>140</v>
      </c>
      <c r="K170" s="5">
        <v>100</v>
      </c>
      <c r="L170" s="9">
        <v>18</v>
      </c>
      <c r="M170" s="1" t="s">
        <v>32</v>
      </c>
      <c r="N170" s="30">
        <v>16.2</v>
      </c>
      <c r="O170" s="7">
        <v>15</v>
      </c>
      <c r="P170" s="7">
        <v>0.8</v>
      </c>
      <c r="Q170" s="7" t="s">
        <v>18</v>
      </c>
      <c r="R170" s="7" t="s">
        <v>19</v>
      </c>
      <c r="S170" s="7" t="s">
        <v>20</v>
      </c>
      <c r="T170" s="54">
        <v>253368</v>
      </c>
      <c r="U170" s="54">
        <v>16</v>
      </c>
      <c r="V170" s="54">
        <v>8</v>
      </c>
      <c r="W170" s="54">
        <v>8</v>
      </c>
      <c r="X170" s="54" t="s">
        <v>48</v>
      </c>
      <c r="Y170" s="55">
        <v>0</v>
      </c>
    </row>
    <row r="171" spans="1:25" x14ac:dyDescent="0.3">
      <c r="A171" s="13">
        <v>170</v>
      </c>
      <c r="B171" s="7">
        <v>70</v>
      </c>
      <c r="C171" s="7" t="s">
        <v>14</v>
      </c>
      <c r="D171" s="7" t="s">
        <v>15</v>
      </c>
      <c r="E171" s="1" t="s">
        <v>21</v>
      </c>
      <c r="F171" s="8">
        <v>54.7</v>
      </c>
      <c r="G171" s="7">
        <v>168</v>
      </c>
      <c r="H171" s="35">
        <f t="shared" si="2"/>
        <v>0.3255952380952381</v>
      </c>
      <c r="I171" s="9">
        <v>68</v>
      </c>
      <c r="J171" s="5">
        <v>140</v>
      </c>
      <c r="K171" s="5">
        <v>50</v>
      </c>
      <c r="L171" s="9">
        <v>22</v>
      </c>
      <c r="M171" s="1" t="s">
        <v>39</v>
      </c>
      <c r="N171" s="30">
        <v>12.8</v>
      </c>
      <c r="O171" s="7">
        <v>36</v>
      </c>
      <c r="P171" s="7">
        <v>1.2</v>
      </c>
      <c r="Q171" s="1" t="s">
        <v>24</v>
      </c>
      <c r="R171" s="7" t="s">
        <v>19</v>
      </c>
      <c r="S171" s="1" t="s">
        <v>25</v>
      </c>
      <c r="T171" s="54">
        <v>162271</v>
      </c>
      <c r="U171" s="54">
        <v>8</v>
      </c>
      <c r="V171" s="54">
        <v>3</v>
      </c>
      <c r="W171" s="54">
        <v>5</v>
      </c>
      <c r="X171" s="54" t="s">
        <v>48</v>
      </c>
      <c r="Y171" s="55">
        <v>0</v>
      </c>
    </row>
    <row r="172" spans="1:25" x14ac:dyDescent="0.3">
      <c r="A172" s="13">
        <v>171</v>
      </c>
      <c r="B172" s="7">
        <v>31</v>
      </c>
      <c r="C172" s="7" t="s">
        <v>27</v>
      </c>
      <c r="D172" s="7" t="s">
        <v>29</v>
      </c>
      <c r="E172" s="1" t="s">
        <v>28</v>
      </c>
      <c r="F172" s="8">
        <v>44</v>
      </c>
      <c r="G172" s="7">
        <v>155</v>
      </c>
      <c r="H172" s="35">
        <f t="shared" si="2"/>
        <v>0.28387096774193549</v>
      </c>
      <c r="I172" s="9">
        <v>80</v>
      </c>
      <c r="J172" s="5">
        <v>110</v>
      </c>
      <c r="K172" s="5">
        <v>90</v>
      </c>
      <c r="L172" s="9">
        <v>22</v>
      </c>
      <c r="M172" s="1"/>
      <c r="N172" s="30">
        <v>11.9</v>
      </c>
      <c r="O172" s="7">
        <v>53</v>
      </c>
      <c r="P172" s="7">
        <v>0.6</v>
      </c>
      <c r="Q172" s="1" t="s">
        <v>24</v>
      </c>
      <c r="R172" s="7" t="s">
        <v>19</v>
      </c>
      <c r="S172" s="1" t="s">
        <v>25</v>
      </c>
      <c r="T172" s="54">
        <v>293271</v>
      </c>
      <c r="U172" s="54">
        <v>9</v>
      </c>
      <c r="V172" s="54">
        <v>2</v>
      </c>
      <c r="W172" s="54">
        <v>7</v>
      </c>
      <c r="X172" s="54" t="s">
        <v>47</v>
      </c>
      <c r="Y172" s="55">
        <v>102900</v>
      </c>
    </row>
    <row r="173" spans="1:25" x14ac:dyDescent="0.3">
      <c r="A173" s="13">
        <v>172</v>
      </c>
      <c r="B173" s="7">
        <v>14</v>
      </c>
      <c r="C173" s="7" t="s">
        <v>27</v>
      </c>
      <c r="D173" s="7" t="s">
        <v>29</v>
      </c>
      <c r="E173" s="1" t="s">
        <v>43</v>
      </c>
      <c r="F173" s="8">
        <v>20</v>
      </c>
      <c r="G173" s="7">
        <v>122</v>
      </c>
      <c r="H173" s="35">
        <f t="shared" si="2"/>
        <v>0.16393442622950818</v>
      </c>
      <c r="I173" s="9">
        <v>76</v>
      </c>
      <c r="J173" s="5">
        <v>110</v>
      </c>
      <c r="K173" s="5">
        <v>70</v>
      </c>
      <c r="L173" s="9">
        <v>22</v>
      </c>
      <c r="M173" s="1"/>
      <c r="N173" s="30">
        <v>15.3</v>
      </c>
      <c r="O173" s="7">
        <v>22</v>
      </c>
      <c r="P173" s="7">
        <v>0.3</v>
      </c>
      <c r="Q173" s="1" t="s">
        <v>24</v>
      </c>
      <c r="R173" s="7" t="s">
        <v>19</v>
      </c>
      <c r="S173" s="1" t="s">
        <v>25</v>
      </c>
      <c r="T173" s="54">
        <v>162957</v>
      </c>
      <c r="U173" s="54">
        <v>15</v>
      </c>
      <c r="V173" s="54">
        <v>3</v>
      </c>
      <c r="W173" s="54">
        <v>12</v>
      </c>
      <c r="X173" s="54" t="s">
        <v>48</v>
      </c>
      <c r="Y173" s="55">
        <v>0</v>
      </c>
    </row>
    <row r="174" spans="1:25" x14ac:dyDescent="0.3">
      <c r="A174" s="13">
        <v>173</v>
      </c>
      <c r="B174" s="7">
        <v>2</v>
      </c>
      <c r="C174" s="7" t="s">
        <v>27</v>
      </c>
      <c r="D174" s="7" t="s">
        <v>29</v>
      </c>
      <c r="E174" s="1" t="s">
        <v>16</v>
      </c>
      <c r="F174" s="8">
        <v>9.4</v>
      </c>
      <c r="G174" s="7">
        <v>74</v>
      </c>
      <c r="H174" s="35">
        <f t="shared" si="2"/>
        <v>0.12702702702702703</v>
      </c>
      <c r="I174" s="9">
        <v>110</v>
      </c>
      <c r="J174" s="5"/>
      <c r="K174" s="5"/>
      <c r="L174" s="9">
        <v>24</v>
      </c>
      <c r="M174" s="1"/>
      <c r="N174" s="30">
        <v>11.9</v>
      </c>
      <c r="O174" s="7">
        <v>33</v>
      </c>
      <c r="P174" s="7">
        <v>0.3</v>
      </c>
      <c r="Q174" s="1" t="s">
        <v>24</v>
      </c>
      <c r="R174" s="7" t="s">
        <v>19</v>
      </c>
      <c r="S174" s="1" t="s">
        <v>25</v>
      </c>
      <c r="T174" s="54">
        <v>137273</v>
      </c>
      <c r="U174" s="54">
        <v>8</v>
      </c>
      <c r="V174" s="54">
        <v>1</v>
      </c>
      <c r="W174" s="54">
        <v>7</v>
      </c>
      <c r="X174" s="54" t="s">
        <v>48</v>
      </c>
      <c r="Y174" s="55">
        <v>0</v>
      </c>
    </row>
    <row r="175" spans="1:25" x14ac:dyDescent="0.3">
      <c r="A175" s="13">
        <v>174</v>
      </c>
      <c r="B175" s="7">
        <v>44</v>
      </c>
      <c r="C175" s="7" t="s">
        <v>14</v>
      </c>
      <c r="D175" s="7" t="s">
        <v>15</v>
      </c>
      <c r="E175" s="1" t="s">
        <v>21</v>
      </c>
      <c r="F175" s="8">
        <v>67.400000000000006</v>
      </c>
      <c r="G175" s="7">
        <v>172</v>
      </c>
      <c r="H175" s="35">
        <f t="shared" si="2"/>
        <v>0.39186046511627909</v>
      </c>
      <c r="I175" s="9">
        <v>78</v>
      </c>
      <c r="J175" s="5">
        <v>130</v>
      </c>
      <c r="K175" s="5">
        <v>90</v>
      </c>
      <c r="L175" s="9">
        <v>24</v>
      </c>
      <c r="M175" s="1" t="s">
        <v>39</v>
      </c>
      <c r="N175" s="30">
        <v>13.5</v>
      </c>
      <c r="O175" s="7">
        <v>30</v>
      </c>
      <c r="P175" s="7">
        <v>0.8</v>
      </c>
      <c r="Q175" s="1" t="s">
        <v>24</v>
      </c>
      <c r="R175" s="7" t="s">
        <v>19</v>
      </c>
      <c r="S175" s="1" t="s">
        <v>25</v>
      </c>
      <c r="T175" s="54">
        <v>199677</v>
      </c>
      <c r="U175" s="54">
        <v>15</v>
      </c>
      <c r="V175" s="54">
        <v>8</v>
      </c>
      <c r="W175" s="54">
        <v>7</v>
      </c>
      <c r="X175" s="54" t="s">
        <v>48</v>
      </c>
      <c r="Y175" s="55">
        <v>0</v>
      </c>
    </row>
    <row r="176" spans="1:25" ht="26.4" x14ac:dyDescent="0.3">
      <c r="A176" s="13">
        <v>175</v>
      </c>
      <c r="B176" s="7">
        <v>13</v>
      </c>
      <c r="C176" s="7" t="s">
        <v>14</v>
      </c>
      <c r="D176" s="7" t="s">
        <v>29</v>
      </c>
      <c r="E176" s="1" t="s">
        <v>41</v>
      </c>
      <c r="F176" s="8">
        <v>29</v>
      </c>
      <c r="G176" s="7">
        <v>147</v>
      </c>
      <c r="H176" s="35">
        <f t="shared" si="2"/>
        <v>0.19727891156462585</v>
      </c>
      <c r="I176" s="9">
        <v>112</v>
      </c>
      <c r="J176" s="5">
        <v>110</v>
      </c>
      <c r="K176" s="5">
        <v>80</v>
      </c>
      <c r="L176" s="9">
        <v>22</v>
      </c>
      <c r="M176" s="1"/>
      <c r="N176" s="30">
        <v>22.9</v>
      </c>
      <c r="O176" s="7">
        <v>31</v>
      </c>
      <c r="P176" s="7">
        <v>0.3</v>
      </c>
      <c r="Q176" s="1" t="s">
        <v>24</v>
      </c>
      <c r="R176" s="7" t="s">
        <v>19</v>
      </c>
      <c r="S176" s="1" t="s">
        <v>25</v>
      </c>
      <c r="T176" s="54">
        <v>161017</v>
      </c>
      <c r="U176" s="54">
        <v>8</v>
      </c>
      <c r="V176" s="54">
        <v>2</v>
      </c>
      <c r="W176" s="54">
        <v>6</v>
      </c>
      <c r="X176" s="54" t="s">
        <v>48</v>
      </c>
      <c r="Y176" s="55">
        <v>0</v>
      </c>
    </row>
    <row r="177" spans="1:25" x14ac:dyDescent="0.3">
      <c r="A177" s="13">
        <v>176</v>
      </c>
      <c r="B177" s="7">
        <v>16</v>
      </c>
      <c r="C177" s="7" t="s">
        <v>27</v>
      </c>
      <c r="D177" s="7" t="s">
        <v>29</v>
      </c>
      <c r="E177" s="1" t="s">
        <v>28</v>
      </c>
      <c r="F177" s="8">
        <v>36.4</v>
      </c>
      <c r="G177" s="7">
        <v>148</v>
      </c>
      <c r="H177" s="35">
        <f t="shared" si="2"/>
        <v>0.24594594594594593</v>
      </c>
      <c r="I177" s="9">
        <v>78</v>
      </c>
      <c r="J177" s="5"/>
      <c r="K177" s="5"/>
      <c r="L177" s="9">
        <v>26</v>
      </c>
      <c r="M177" s="1"/>
      <c r="N177" s="30">
        <v>10.8</v>
      </c>
      <c r="O177" s="7">
        <v>15</v>
      </c>
      <c r="P177" s="7">
        <v>0.5</v>
      </c>
      <c r="Q177" s="1" t="s">
        <v>24</v>
      </c>
      <c r="R177" s="7" t="s">
        <v>19</v>
      </c>
      <c r="S177" s="1" t="s">
        <v>25</v>
      </c>
      <c r="T177" s="54">
        <v>199790</v>
      </c>
      <c r="U177" s="54">
        <v>21</v>
      </c>
      <c r="V177" s="54">
        <v>1</v>
      </c>
      <c r="W177" s="54">
        <v>20</v>
      </c>
      <c r="X177" s="54" t="s">
        <v>47</v>
      </c>
      <c r="Y177" s="55">
        <v>21498</v>
      </c>
    </row>
    <row r="178" spans="1:25" x14ac:dyDescent="0.3">
      <c r="A178" s="13">
        <v>177</v>
      </c>
      <c r="B178" s="7">
        <v>65</v>
      </c>
      <c r="C178" s="7" t="s">
        <v>14</v>
      </c>
      <c r="D178" s="7" t="s">
        <v>15</v>
      </c>
      <c r="E178" s="1"/>
      <c r="F178" s="8">
        <v>62</v>
      </c>
      <c r="G178" s="7">
        <v>160</v>
      </c>
      <c r="H178" s="35">
        <f t="shared" si="2"/>
        <v>0.38750000000000001</v>
      </c>
      <c r="I178" s="9">
        <v>41</v>
      </c>
      <c r="J178" s="5">
        <v>170</v>
      </c>
      <c r="K178" s="5">
        <v>80</v>
      </c>
      <c r="L178" s="9">
        <v>32</v>
      </c>
      <c r="M178" s="1" t="s">
        <v>26</v>
      </c>
      <c r="N178" s="30">
        <v>14.6</v>
      </c>
      <c r="O178" s="7">
        <v>27</v>
      </c>
      <c r="P178" s="7">
        <v>0.7</v>
      </c>
      <c r="Q178" s="7" t="s">
        <v>18</v>
      </c>
      <c r="R178" s="7" t="s">
        <v>19</v>
      </c>
      <c r="S178" s="7" t="s">
        <v>20</v>
      </c>
      <c r="T178" s="54">
        <v>159882</v>
      </c>
      <c r="U178" s="54">
        <v>10</v>
      </c>
      <c r="V178" s="54">
        <v>6</v>
      </c>
      <c r="W178" s="54">
        <v>4</v>
      </c>
      <c r="X178" s="54" t="s">
        <v>48</v>
      </c>
      <c r="Y178" s="55">
        <v>0</v>
      </c>
    </row>
    <row r="179" spans="1:25" x14ac:dyDescent="0.3">
      <c r="A179" s="13">
        <v>178</v>
      </c>
      <c r="B179" s="7">
        <v>7</v>
      </c>
      <c r="C179" s="7" t="s">
        <v>27</v>
      </c>
      <c r="D179" s="7" t="s">
        <v>29</v>
      </c>
      <c r="E179" s="1" t="s">
        <v>16</v>
      </c>
      <c r="F179" s="8">
        <v>14.6</v>
      </c>
      <c r="G179" s="7">
        <v>19</v>
      </c>
      <c r="H179" s="35">
        <f t="shared" si="2"/>
        <v>0.76842105263157889</v>
      </c>
      <c r="I179" s="9">
        <v>96</v>
      </c>
      <c r="J179" s="5">
        <v>100</v>
      </c>
      <c r="K179" s="5">
        <v>80</v>
      </c>
      <c r="L179" s="9">
        <v>24</v>
      </c>
      <c r="M179" s="1"/>
      <c r="N179" s="30">
        <v>9.6999999999999993</v>
      </c>
      <c r="O179" s="7">
        <v>22</v>
      </c>
      <c r="P179" s="7">
        <v>0.3</v>
      </c>
      <c r="Q179" s="1" t="s">
        <v>24</v>
      </c>
      <c r="R179" s="7" t="s">
        <v>19</v>
      </c>
      <c r="S179" s="1" t="s">
        <v>25</v>
      </c>
      <c r="T179" s="54">
        <v>64929</v>
      </c>
      <c r="U179" s="54">
        <v>7</v>
      </c>
      <c r="V179" s="54">
        <v>1</v>
      </c>
      <c r="W179" s="54">
        <v>6</v>
      </c>
      <c r="X179" s="54" t="s">
        <v>48</v>
      </c>
      <c r="Y179" s="55">
        <v>0</v>
      </c>
    </row>
    <row r="180" spans="1:25" x14ac:dyDescent="0.3">
      <c r="A180" s="13">
        <v>179</v>
      </c>
      <c r="B180" s="7">
        <v>4</v>
      </c>
      <c r="C180" s="7" t="s">
        <v>14</v>
      </c>
      <c r="D180" s="7" t="s">
        <v>29</v>
      </c>
      <c r="E180" s="1"/>
      <c r="F180" s="8">
        <v>10.4</v>
      </c>
      <c r="G180" s="7">
        <v>87</v>
      </c>
      <c r="H180" s="35">
        <f t="shared" si="2"/>
        <v>0.11954022988505747</v>
      </c>
      <c r="I180" s="9">
        <v>120</v>
      </c>
      <c r="J180" s="5">
        <v>90</v>
      </c>
      <c r="K180" s="5">
        <v>40</v>
      </c>
      <c r="L180" s="9">
        <v>28</v>
      </c>
      <c r="M180" s="1"/>
      <c r="N180" s="30">
        <v>7.9</v>
      </c>
      <c r="O180" s="7">
        <v>20</v>
      </c>
      <c r="P180" s="7">
        <v>0.3</v>
      </c>
      <c r="Q180" s="1" t="s">
        <v>24</v>
      </c>
      <c r="R180" s="7" t="s">
        <v>19</v>
      </c>
      <c r="S180" s="1" t="s">
        <v>25</v>
      </c>
      <c r="T180" s="54">
        <v>180728</v>
      </c>
      <c r="U180" s="54">
        <v>19</v>
      </c>
      <c r="V180" s="54">
        <v>5</v>
      </c>
      <c r="W180" s="54">
        <v>14</v>
      </c>
      <c r="X180" s="54" t="s">
        <v>48</v>
      </c>
      <c r="Y180" s="55">
        <v>0</v>
      </c>
    </row>
    <row r="181" spans="1:25" x14ac:dyDescent="0.3">
      <c r="A181" s="13">
        <v>180</v>
      </c>
      <c r="B181" s="7">
        <v>45</v>
      </c>
      <c r="C181" s="7" t="s">
        <v>14</v>
      </c>
      <c r="D181" s="7" t="s">
        <v>15</v>
      </c>
      <c r="E181" s="1" t="s">
        <v>21</v>
      </c>
      <c r="F181" s="8">
        <v>55</v>
      </c>
      <c r="G181" s="7">
        <v>156</v>
      </c>
      <c r="H181" s="35">
        <f t="shared" si="2"/>
        <v>0.35256410256410259</v>
      </c>
      <c r="I181" s="9">
        <v>72</v>
      </c>
      <c r="J181" s="5">
        <v>140</v>
      </c>
      <c r="K181" s="5">
        <v>80</v>
      </c>
      <c r="L181" s="9">
        <v>20</v>
      </c>
      <c r="M181" s="1" t="s">
        <v>32</v>
      </c>
      <c r="N181" s="30">
        <v>14</v>
      </c>
      <c r="O181" s="7">
        <v>27</v>
      </c>
      <c r="P181" s="7">
        <v>0.6</v>
      </c>
      <c r="Q181" s="1" t="s">
        <v>24</v>
      </c>
      <c r="R181" s="7" t="s">
        <v>19</v>
      </c>
      <c r="S181" s="1" t="s">
        <v>25</v>
      </c>
      <c r="T181" s="54">
        <v>144134</v>
      </c>
      <c r="U181" s="54">
        <v>10</v>
      </c>
      <c r="V181" s="54">
        <v>1</v>
      </c>
      <c r="W181" s="54">
        <v>9</v>
      </c>
      <c r="X181" s="54" t="s">
        <v>48</v>
      </c>
      <c r="Y181" s="55">
        <v>0</v>
      </c>
    </row>
    <row r="182" spans="1:25" x14ac:dyDescent="0.3">
      <c r="A182" s="13">
        <v>181</v>
      </c>
      <c r="B182" s="7">
        <v>13</v>
      </c>
      <c r="C182" s="7" t="s">
        <v>14</v>
      </c>
      <c r="D182" s="7" t="s">
        <v>29</v>
      </c>
      <c r="E182" s="1" t="s">
        <v>43</v>
      </c>
      <c r="F182" s="8">
        <v>22</v>
      </c>
      <c r="G182" s="7">
        <v>139</v>
      </c>
      <c r="H182" s="35">
        <f t="shared" si="2"/>
        <v>0.15827338129496402</v>
      </c>
      <c r="I182" s="9">
        <v>80</v>
      </c>
      <c r="J182" s="5">
        <v>90</v>
      </c>
      <c r="K182" s="5">
        <v>80</v>
      </c>
      <c r="L182" s="9">
        <v>18</v>
      </c>
      <c r="M182" s="1"/>
      <c r="N182" s="30">
        <v>11.7</v>
      </c>
      <c r="O182" s="7">
        <v>21</v>
      </c>
      <c r="P182" s="7">
        <v>0.3</v>
      </c>
      <c r="Q182" s="1" t="s">
        <v>24</v>
      </c>
      <c r="R182" s="7" t="s">
        <v>19</v>
      </c>
      <c r="S182" s="1" t="s">
        <v>25</v>
      </c>
      <c r="T182" s="54">
        <v>160250</v>
      </c>
      <c r="U182" s="54">
        <v>12</v>
      </c>
      <c r="V182" s="54">
        <v>3</v>
      </c>
      <c r="W182" s="54">
        <v>9</v>
      </c>
      <c r="X182" s="54" t="s">
        <v>48</v>
      </c>
      <c r="Y182" s="55">
        <v>0</v>
      </c>
    </row>
    <row r="183" spans="1:25" x14ac:dyDescent="0.3">
      <c r="A183" s="13">
        <v>182</v>
      </c>
      <c r="B183" s="7">
        <v>38</v>
      </c>
      <c r="C183" s="7" t="s">
        <v>27</v>
      </c>
      <c r="D183" s="7" t="s">
        <v>15</v>
      </c>
      <c r="E183" s="1" t="s">
        <v>28</v>
      </c>
      <c r="F183" s="8">
        <v>56</v>
      </c>
      <c r="G183" s="7">
        <v>150</v>
      </c>
      <c r="H183" s="35">
        <f t="shared" si="2"/>
        <v>0.37333333333333335</v>
      </c>
      <c r="I183" s="9">
        <v>68</v>
      </c>
      <c r="J183" s="5">
        <v>100</v>
      </c>
      <c r="K183" s="5">
        <v>70</v>
      </c>
      <c r="L183" s="9">
        <v>24</v>
      </c>
      <c r="M183" s="1"/>
      <c r="N183" s="30">
        <v>11.6</v>
      </c>
      <c r="O183" s="7">
        <v>32</v>
      </c>
      <c r="P183" s="7">
        <v>0.6</v>
      </c>
      <c r="Q183" s="1" t="s">
        <v>24</v>
      </c>
      <c r="R183" s="7" t="s">
        <v>19</v>
      </c>
      <c r="S183" s="1" t="s">
        <v>25</v>
      </c>
      <c r="T183" s="54">
        <v>193543</v>
      </c>
      <c r="U183" s="54">
        <v>9</v>
      </c>
      <c r="V183" s="54">
        <v>3</v>
      </c>
      <c r="W183" s="54">
        <v>6</v>
      </c>
      <c r="X183" s="54" t="s">
        <v>47</v>
      </c>
      <c r="Y183" s="55">
        <v>20900</v>
      </c>
    </row>
    <row r="184" spans="1:25" x14ac:dyDescent="0.3">
      <c r="A184" s="13">
        <v>183</v>
      </c>
      <c r="B184" s="30">
        <v>0.41666666666666669</v>
      </c>
      <c r="C184" s="7" t="s">
        <v>14</v>
      </c>
      <c r="D184" s="7" t="s">
        <v>29</v>
      </c>
      <c r="E184" s="1" t="s">
        <v>16</v>
      </c>
      <c r="F184" s="8">
        <v>4.7</v>
      </c>
      <c r="G184" s="7">
        <v>66</v>
      </c>
      <c r="H184" s="35">
        <f t="shared" si="2"/>
        <v>7.1212121212121213E-2</v>
      </c>
      <c r="I184" s="9">
        <v>100</v>
      </c>
      <c r="J184" s="5"/>
      <c r="K184" s="5"/>
      <c r="L184" s="9">
        <v>24</v>
      </c>
      <c r="M184" s="1"/>
      <c r="N184" s="30">
        <v>20.399999999999999</v>
      </c>
      <c r="O184" s="7"/>
      <c r="P184" s="7"/>
      <c r="Q184" s="1" t="s">
        <v>24</v>
      </c>
      <c r="R184" s="7" t="s">
        <v>19</v>
      </c>
      <c r="S184" s="1" t="s">
        <v>25</v>
      </c>
      <c r="T184" s="54">
        <v>233376</v>
      </c>
      <c r="U184" s="54">
        <v>17</v>
      </c>
      <c r="V184" s="54">
        <v>3</v>
      </c>
      <c r="W184" s="54">
        <v>14</v>
      </c>
      <c r="X184" s="54" t="s">
        <v>47</v>
      </c>
      <c r="Y184" s="55">
        <v>26000</v>
      </c>
    </row>
    <row r="185" spans="1:25" x14ac:dyDescent="0.3">
      <c r="A185" s="13">
        <v>184</v>
      </c>
      <c r="B185" s="7">
        <v>21</v>
      </c>
      <c r="C185" s="7" t="s">
        <v>27</v>
      </c>
      <c r="D185" s="7" t="s">
        <v>15</v>
      </c>
      <c r="E185" s="1" t="s">
        <v>28</v>
      </c>
      <c r="F185" s="8">
        <v>36.700000000000003</v>
      </c>
      <c r="G185" s="7">
        <v>154</v>
      </c>
      <c r="H185" s="35">
        <f t="shared" si="2"/>
        <v>0.23831168831168834</v>
      </c>
      <c r="I185" s="9">
        <v>76</v>
      </c>
      <c r="J185" s="5">
        <v>130</v>
      </c>
      <c r="K185" s="5">
        <v>80</v>
      </c>
      <c r="L185" s="9">
        <v>20</v>
      </c>
      <c r="M185" s="1"/>
      <c r="N185" s="30">
        <v>13.1</v>
      </c>
      <c r="O185" s="7">
        <v>25</v>
      </c>
      <c r="P185" s="7">
        <v>0.5</v>
      </c>
      <c r="Q185" s="1" t="s">
        <v>24</v>
      </c>
      <c r="R185" s="7" t="s">
        <v>19</v>
      </c>
      <c r="S185" s="1" t="s">
        <v>25</v>
      </c>
      <c r="T185" s="54">
        <v>166709</v>
      </c>
      <c r="U185" s="54">
        <v>8</v>
      </c>
      <c r="V185" s="54">
        <v>1</v>
      </c>
      <c r="W185" s="54">
        <v>7</v>
      </c>
      <c r="X185" s="54" t="s">
        <v>47</v>
      </c>
      <c r="Y185" s="55">
        <v>20900</v>
      </c>
    </row>
    <row r="186" spans="1:25" x14ac:dyDescent="0.3">
      <c r="A186" s="13">
        <v>185</v>
      </c>
      <c r="B186" s="7">
        <v>13</v>
      </c>
      <c r="C186" s="7" t="s">
        <v>14</v>
      </c>
      <c r="D186" s="7" t="s">
        <v>29</v>
      </c>
      <c r="E186" s="1" t="s">
        <v>43</v>
      </c>
      <c r="F186" s="8">
        <v>25.1</v>
      </c>
      <c r="G186" s="7">
        <v>130</v>
      </c>
      <c r="H186" s="35">
        <f t="shared" si="2"/>
        <v>0.19307692307692309</v>
      </c>
      <c r="I186" s="9">
        <v>118</v>
      </c>
      <c r="J186" s="5">
        <v>90</v>
      </c>
      <c r="K186" s="5">
        <v>60</v>
      </c>
      <c r="L186" s="9">
        <v>22</v>
      </c>
      <c r="M186" s="1"/>
      <c r="N186" s="30">
        <v>13.8</v>
      </c>
      <c r="O186" s="7">
        <v>20</v>
      </c>
      <c r="P186" s="7">
        <v>0.3</v>
      </c>
      <c r="Q186" s="1" t="s">
        <v>24</v>
      </c>
      <c r="R186" s="7" t="s">
        <v>19</v>
      </c>
      <c r="S186" s="1" t="s">
        <v>25</v>
      </c>
      <c r="T186" s="54">
        <v>133873</v>
      </c>
      <c r="U186" s="54">
        <v>11</v>
      </c>
      <c r="V186" s="54">
        <v>1</v>
      </c>
      <c r="W186" s="54">
        <v>10</v>
      </c>
      <c r="X186" s="54" t="s">
        <v>48</v>
      </c>
      <c r="Y186" s="55">
        <v>0</v>
      </c>
    </row>
    <row r="187" spans="1:25" x14ac:dyDescent="0.3">
      <c r="A187" s="13">
        <v>186</v>
      </c>
      <c r="B187" s="7">
        <v>11</v>
      </c>
      <c r="C187" s="7" t="s">
        <v>14</v>
      </c>
      <c r="D187" s="7" t="s">
        <v>29</v>
      </c>
      <c r="E187" s="1" t="s">
        <v>43</v>
      </c>
      <c r="F187" s="8">
        <v>33.4</v>
      </c>
      <c r="G187" s="7">
        <v>165</v>
      </c>
      <c r="H187" s="35">
        <f t="shared" si="2"/>
        <v>0.20242424242424242</v>
      </c>
      <c r="I187" s="9">
        <v>88</v>
      </c>
      <c r="J187" s="5">
        <v>110</v>
      </c>
      <c r="K187" s="5">
        <v>80</v>
      </c>
      <c r="L187" s="9">
        <v>24</v>
      </c>
      <c r="M187" s="1"/>
      <c r="N187" s="30">
        <v>11.8</v>
      </c>
      <c r="O187" s="7">
        <v>25</v>
      </c>
      <c r="P187" s="7">
        <v>0.5</v>
      </c>
      <c r="Q187" s="1" t="s">
        <v>24</v>
      </c>
      <c r="R187" s="7" t="s">
        <v>19</v>
      </c>
      <c r="S187" s="1" t="s">
        <v>25</v>
      </c>
      <c r="T187" s="54">
        <v>133087</v>
      </c>
      <c r="U187" s="54">
        <v>8</v>
      </c>
      <c r="V187" s="54">
        <v>3</v>
      </c>
      <c r="W187" s="54">
        <v>5</v>
      </c>
      <c r="X187" s="54" t="s">
        <v>48</v>
      </c>
      <c r="Y187" s="55">
        <v>0</v>
      </c>
    </row>
    <row r="188" spans="1:25" x14ac:dyDescent="0.3">
      <c r="A188" s="13">
        <v>187</v>
      </c>
      <c r="B188" s="7">
        <v>57</v>
      </c>
      <c r="C188" s="7" t="s">
        <v>14</v>
      </c>
      <c r="D188" s="7" t="s">
        <v>15</v>
      </c>
      <c r="E188" s="1" t="s">
        <v>22</v>
      </c>
      <c r="F188" s="8">
        <v>81.599999999999994</v>
      </c>
      <c r="G188" s="7">
        <v>165</v>
      </c>
      <c r="H188" s="35">
        <f t="shared" si="2"/>
        <v>0.49454545454545451</v>
      </c>
      <c r="I188" s="9">
        <v>68</v>
      </c>
      <c r="J188" s="5">
        <v>130</v>
      </c>
      <c r="K188" s="5">
        <v>90</v>
      </c>
      <c r="L188" s="9">
        <v>20</v>
      </c>
      <c r="M188" s="1" t="s">
        <v>26</v>
      </c>
      <c r="N188" s="30">
        <v>14.5</v>
      </c>
      <c r="O188" s="7">
        <v>19</v>
      </c>
      <c r="P188" s="7">
        <v>1</v>
      </c>
      <c r="Q188" s="1" t="s">
        <v>24</v>
      </c>
      <c r="R188" s="7" t="s">
        <v>19</v>
      </c>
      <c r="S188" s="1" t="s">
        <v>25</v>
      </c>
      <c r="T188" s="54">
        <v>178428</v>
      </c>
      <c r="U188" s="54">
        <v>9</v>
      </c>
      <c r="V188" s="54">
        <v>4</v>
      </c>
      <c r="W188" s="54">
        <v>5</v>
      </c>
      <c r="X188" s="54" t="s">
        <v>48</v>
      </c>
      <c r="Y188" s="55">
        <v>0</v>
      </c>
    </row>
    <row r="189" spans="1:25" x14ac:dyDescent="0.3">
      <c r="A189" s="13">
        <v>188</v>
      </c>
      <c r="B189" s="7">
        <v>56</v>
      </c>
      <c r="C189" s="7" t="s">
        <v>14</v>
      </c>
      <c r="D189" s="7" t="s">
        <v>15</v>
      </c>
      <c r="E189" s="1" t="s">
        <v>22</v>
      </c>
      <c r="F189" s="8">
        <v>85</v>
      </c>
      <c r="G189" s="7">
        <v>173</v>
      </c>
      <c r="H189" s="35">
        <f t="shared" si="2"/>
        <v>0.4913294797687861</v>
      </c>
      <c r="I189" s="9">
        <v>100</v>
      </c>
      <c r="J189" s="5">
        <v>140</v>
      </c>
      <c r="K189" s="5">
        <v>90</v>
      </c>
      <c r="L189" s="9">
        <v>20</v>
      </c>
      <c r="M189" s="1" t="s">
        <v>23</v>
      </c>
      <c r="N189" s="30">
        <v>12.1</v>
      </c>
      <c r="O189" s="7">
        <v>19</v>
      </c>
      <c r="P189" s="7">
        <v>0.8</v>
      </c>
      <c r="Q189" s="1" t="s">
        <v>24</v>
      </c>
      <c r="R189" s="7" t="s">
        <v>19</v>
      </c>
      <c r="S189" s="1" t="s">
        <v>25</v>
      </c>
      <c r="T189" s="54">
        <v>191102</v>
      </c>
      <c r="U189" s="54">
        <v>9</v>
      </c>
      <c r="V189" s="54">
        <v>4</v>
      </c>
      <c r="W189" s="54">
        <v>5</v>
      </c>
      <c r="X189" s="54" t="s">
        <v>48</v>
      </c>
      <c r="Y189" s="55">
        <v>0</v>
      </c>
    </row>
    <row r="190" spans="1:25" ht="26.4" x14ac:dyDescent="0.3">
      <c r="A190" s="13">
        <v>189</v>
      </c>
      <c r="B190" s="7">
        <v>3</v>
      </c>
      <c r="C190" s="7" t="s">
        <v>14</v>
      </c>
      <c r="D190" s="7" t="s">
        <v>29</v>
      </c>
      <c r="E190" s="1" t="s">
        <v>41</v>
      </c>
      <c r="F190" s="8">
        <v>12.5</v>
      </c>
      <c r="G190" s="7">
        <v>88</v>
      </c>
      <c r="H190" s="35">
        <f t="shared" si="2"/>
        <v>0.14204545454545456</v>
      </c>
      <c r="I190" s="9">
        <v>110</v>
      </c>
      <c r="J190" s="5"/>
      <c r="K190" s="5"/>
      <c r="L190" s="9">
        <v>24</v>
      </c>
      <c r="M190" s="1"/>
      <c r="N190" s="30">
        <v>18.7</v>
      </c>
      <c r="O190" s="7">
        <v>15</v>
      </c>
      <c r="P190" s="7">
        <v>0.4</v>
      </c>
      <c r="Q190" s="1" t="s">
        <v>24</v>
      </c>
      <c r="R190" s="7" t="s">
        <v>19</v>
      </c>
      <c r="S190" s="1" t="s">
        <v>25</v>
      </c>
      <c r="T190" s="54">
        <v>168670</v>
      </c>
      <c r="U190" s="54">
        <v>11</v>
      </c>
      <c r="V190" s="54">
        <v>1</v>
      </c>
      <c r="W190" s="54">
        <v>10</v>
      </c>
      <c r="X190" s="54" t="s">
        <v>48</v>
      </c>
      <c r="Y190" s="55">
        <v>0</v>
      </c>
    </row>
    <row r="191" spans="1:25" x14ac:dyDescent="0.3">
      <c r="A191" s="13">
        <v>190</v>
      </c>
      <c r="B191" s="7">
        <v>2</v>
      </c>
      <c r="C191" s="7" t="s">
        <v>14</v>
      </c>
      <c r="D191" s="7" t="s">
        <v>29</v>
      </c>
      <c r="E191" s="1" t="s">
        <v>43</v>
      </c>
      <c r="F191" s="8">
        <v>11</v>
      </c>
      <c r="G191" s="7">
        <v>83</v>
      </c>
      <c r="H191" s="35">
        <f t="shared" si="2"/>
        <v>0.13253012048192772</v>
      </c>
      <c r="I191" s="9">
        <v>96</v>
      </c>
      <c r="J191" s="5" t="s">
        <v>36</v>
      </c>
      <c r="K191" s="5"/>
      <c r="L191" s="9">
        <v>28</v>
      </c>
      <c r="M191" s="1"/>
      <c r="N191" s="30">
        <v>11.3</v>
      </c>
      <c r="O191" s="7">
        <v>17</v>
      </c>
      <c r="P191" s="7">
        <v>0.3</v>
      </c>
      <c r="Q191" s="1" t="s">
        <v>24</v>
      </c>
      <c r="R191" s="7" t="s">
        <v>19</v>
      </c>
      <c r="S191" s="1" t="s">
        <v>25</v>
      </c>
      <c r="T191" s="54">
        <v>163914</v>
      </c>
      <c r="U191" s="54">
        <v>15</v>
      </c>
      <c r="V191" s="54">
        <v>1</v>
      </c>
      <c r="W191" s="54">
        <v>14</v>
      </c>
      <c r="X191" s="54" t="s">
        <v>48</v>
      </c>
      <c r="Y191" s="55">
        <v>0</v>
      </c>
    </row>
    <row r="192" spans="1:25" x14ac:dyDescent="0.3">
      <c r="A192" s="13">
        <v>191</v>
      </c>
      <c r="B192" s="7">
        <v>63</v>
      </c>
      <c r="C192" s="7" t="s">
        <v>14</v>
      </c>
      <c r="D192" s="7" t="s">
        <v>15</v>
      </c>
      <c r="E192" s="1" t="s">
        <v>16</v>
      </c>
      <c r="F192" s="8">
        <v>62</v>
      </c>
      <c r="G192" s="7">
        <v>172</v>
      </c>
      <c r="H192" s="35">
        <f t="shared" si="2"/>
        <v>0.36046511627906974</v>
      </c>
      <c r="I192" s="9">
        <v>98</v>
      </c>
      <c r="J192" s="5">
        <v>130</v>
      </c>
      <c r="K192" s="5">
        <v>70</v>
      </c>
      <c r="L192" s="9">
        <v>20</v>
      </c>
      <c r="M192" s="1"/>
      <c r="N192" s="30">
        <v>13.3</v>
      </c>
      <c r="O192" s="7"/>
      <c r="P192" s="7"/>
      <c r="Q192" s="1" t="s">
        <v>24</v>
      </c>
      <c r="R192" s="7" t="s">
        <v>19</v>
      </c>
      <c r="S192" s="1" t="s">
        <v>25</v>
      </c>
      <c r="T192" s="54">
        <v>241130</v>
      </c>
      <c r="U192" s="54">
        <v>9</v>
      </c>
      <c r="V192" s="54">
        <v>2</v>
      </c>
      <c r="W192" s="54">
        <v>7</v>
      </c>
      <c r="X192" s="54" t="s">
        <v>47</v>
      </c>
      <c r="Y192" s="55">
        <v>51450</v>
      </c>
    </row>
    <row r="193" spans="1:25" x14ac:dyDescent="0.3">
      <c r="A193" s="13">
        <v>192</v>
      </c>
      <c r="B193" s="7">
        <v>68</v>
      </c>
      <c r="C193" s="7" t="s">
        <v>14</v>
      </c>
      <c r="D193" s="7" t="s">
        <v>15</v>
      </c>
      <c r="E193" s="1" t="s">
        <v>21</v>
      </c>
      <c r="F193" s="8">
        <v>64.3</v>
      </c>
      <c r="G193" s="7">
        <v>154</v>
      </c>
      <c r="H193" s="35">
        <f t="shared" si="2"/>
        <v>0.41753246753246753</v>
      </c>
      <c r="I193" s="9">
        <v>80</v>
      </c>
      <c r="J193" s="5">
        <v>160</v>
      </c>
      <c r="K193" s="5">
        <v>100</v>
      </c>
      <c r="L193" s="9">
        <v>20</v>
      </c>
      <c r="M193" s="1"/>
      <c r="N193" s="30">
        <v>14.4</v>
      </c>
      <c r="O193" s="7">
        <v>18</v>
      </c>
      <c r="P193" s="7">
        <v>1.1000000000000001</v>
      </c>
      <c r="Q193" s="1" t="s">
        <v>24</v>
      </c>
      <c r="R193" s="7" t="s">
        <v>19</v>
      </c>
      <c r="S193" s="1" t="s">
        <v>25</v>
      </c>
      <c r="T193" s="54">
        <v>138535</v>
      </c>
      <c r="U193" s="54">
        <v>9</v>
      </c>
      <c r="V193" s="54">
        <v>1</v>
      </c>
      <c r="W193" s="54">
        <v>8</v>
      </c>
      <c r="X193" s="54" t="s">
        <v>48</v>
      </c>
      <c r="Y193" s="55">
        <v>0</v>
      </c>
    </row>
    <row r="194" spans="1:25" x14ac:dyDescent="0.3">
      <c r="A194" s="13">
        <v>193</v>
      </c>
      <c r="B194" s="7">
        <v>16</v>
      </c>
      <c r="C194" s="7" t="s">
        <v>14</v>
      </c>
      <c r="D194" s="7" t="s">
        <v>29</v>
      </c>
      <c r="E194" s="1"/>
      <c r="F194" s="8">
        <v>42.5</v>
      </c>
      <c r="G194" s="7">
        <v>163</v>
      </c>
      <c r="H194" s="35">
        <f t="shared" si="2"/>
        <v>0.2607361963190184</v>
      </c>
      <c r="I194" s="9">
        <v>84</v>
      </c>
      <c r="J194" s="5">
        <v>100</v>
      </c>
      <c r="K194" s="5">
        <v>80</v>
      </c>
      <c r="L194" s="9">
        <v>24</v>
      </c>
      <c r="M194" s="1"/>
      <c r="N194" s="30">
        <v>14.9</v>
      </c>
      <c r="O194" s="7">
        <v>22</v>
      </c>
      <c r="P194" s="7">
        <v>0.6</v>
      </c>
      <c r="Q194" s="7" t="s">
        <v>37</v>
      </c>
      <c r="R194" s="7" t="s">
        <v>19</v>
      </c>
      <c r="S194" s="1" t="s">
        <v>25</v>
      </c>
      <c r="T194" s="54">
        <v>119348</v>
      </c>
      <c r="U194" s="54">
        <v>9</v>
      </c>
      <c r="V194" s="54">
        <v>2</v>
      </c>
      <c r="W194" s="54">
        <v>7</v>
      </c>
      <c r="X194" s="54" t="s">
        <v>48</v>
      </c>
      <c r="Y194" s="55">
        <v>0</v>
      </c>
    </row>
    <row r="195" spans="1:25" x14ac:dyDescent="0.3">
      <c r="A195" s="13">
        <v>194</v>
      </c>
      <c r="B195" s="7">
        <v>63</v>
      </c>
      <c r="C195" s="7" t="s">
        <v>14</v>
      </c>
      <c r="D195" s="7" t="s">
        <v>15</v>
      </c>
      <c r="E195" s="1" t="s">
        <v>22</v>
      </c>
      <c r="F195" s="8">
        <v>53.6</v>
      </c>
      <c r="G195" s="7">
        <v>157</v>
      </c>
      <c r="H195" s="35">
        <f t="shared" ref="H195:H249" si="3">F195/G195</f>
        <v>0.34140127388535035</v>
      </c>
      <c r="I195" s="9">
        <v>76</v>
      </c>
      <c r="J195" s="5">
        <v>160</v>
      </c>
      <c r="K195" s="5">
        <v>90</v>
      </c>
      <c r="L195" s="9">
        <v>15</v>
      </c>
      <c r="M195" s="1" t="s">
        <v>32</v>
      </c>
      <c r="N195" s="30">
        <v>11</v>
      </c>
      <c r="O195" s="7">
        <v>17</v>
      </c>
      <c r="P195" s="7">
        <v>0.8</v>
      </c>
      <c r="Q195" s="7" t="s">
        <v>18</v>
      </c>
      <c r="R195" s="7" t="s">
        <v>19</v>
      </c>
      <c r="S195" s="7" t="s">
        <v>20</v>
      </c>
      <c r="T195" s="54">
        <v>154354</v>
      </c>
      <c r="U195" s="54">
        <v>11</v>
      </c>
      <c r="V195" s="54">
        <v>1</v>
      </c>
      <c r="W195" s="54">
        <v>10</v>
      </c>
      <c r="X195" s="54" t="s">
        <v>48</v>
      </c>
      <c r="Y195" s="55">
        <v>0</v>
      </c>
    </row>
    <row r="196" spans="1:25" x14ac:dyDescent="0.3">
      <c r="A196" s="13">
        <v>195</v>
      </c>
      <c r="B196" s="7">
        <v>3</v>
      </c>
      <c r="C196" s="7" t="s">
        <v>14</v>
      </c>
      <c r="D196" s="7" t="s">
        <v>29</v>
      </c>
      <c r="E196" s="1" t="s">
        <v>44</v>
      </c>
      <c r="F196" s="8">
        <v>13.1</v>
      </c>
      <c r="G196" s="7">
        <v>53</v>
      </c>
      <c r="H196" s="35">
        <f t="shared" si="3"/>
        <v>0.24716981132075472</v>
      </c>
      <c r="I196" s="9">
        <v>88</v>
      </c>
      <c r="J196" s="5">
        <v>100</v>
      </c>
      <c r="K196" s="5">
        <v>80</v>
      </c>
      <c r="L196" s="9">
        <v>18</v>
      </c>
      <c r="M196" s="1"/>
      <c r="N196" s="30">
        <v>11.3</v>
      </c>
      <c r="O196" s="7">
        <v>23</v>
      </c>
      <c r="P196" s="7">
        <v>0.3</v>
      </c>
      <c r="Q196" s="1" t="s">
        <v>24</v>
      </c>
      <c r="R196" s="7" t="s">
        <v>19</v>
      </c>
      <c r="S196" s="1" t="s">
        <v>25</v>
      </c>
      <c r="T196" s="54">
        <v>119877</v>
      </c>
      <c r="U196" s="54">
        <v>7</v>
      </c>
      <c r="V196" s="54">
        <v>1</v>
      </c>
      <c r="W196" s="54">
        <v>6</v>
      </c>
      <c r="X196" s="54" t="s">
        <v>48</v>
      </c>
      <c r="Y196" s="55">
        <v>0</v>
      </c>
    </row>
    <row r="197" spans="1:25" x14ac:dyDescent="0.3">
      <c r="A197" s="13">
        <v>196</v>
      </c>
      <c r="B197" s="7">
        <v>1</v>
      </c>
      <c r="C197" s="7" t="s">
        <v>27</v>
      </c>
      <c r="D197" s="7" t="s">
        <v>29</v>
      </c>
      <c r="E197" s="1" t="s">
        <v>16</v>
      </c>
      <c r="F197" s="8">
        <v>8.6</v>
      </c>
      <c r="G197" s="7">
        <v>80</v>
      </c>
      <c r="H197" s="35">
        <f t="shared" si="3"/>
        <v>0.1075</v>
      </c>
      <c r="I197" s="9">
        <v>100</v>
      </c>
      <c r="J197" s="5">
        <v>80</v>
      </c>
      <c r="K197" s="5">
        <v>40</v>
      </c>
      <c r="L197" s="9">
        <v>18</v>
      </c>
      <c r="M197" s="1"/>
      <c r="N197" s="30">
        <v>13</v>
      </c>
      <c r="O197" s="7">
        <v>17</v>
      </c>
      <c r="P197" s="7">
        <v>0.3</v>
      </c>
      <c r="Q197" s="1" t="s">
        <v>24</v>
      </c>
      <c r="R197" s="7" t="s">
        <v>19</v>
      </c>
      <c r="S197" s="1" t="s">
        <v>25</v>
      </c>
      <c r="T197" s="54">
        <v>135019</v>
      </c>
      <c r="U197" s="54">
        <v>7</v>
      </c>
      <c r="V197" s="54">
        <v>1</v>
      </c>
      <c r="W197" s="54">
        <v>6</v>
      </c>
      <c r="X197" s="54" t="s">
        <v>48</v>
      </c>
      <c r="Y197" s="55">
        <v>0</v>
      </c>
    </row>
    <row r="198" spans="1:25" x14ac:dyDescent="0.3">
      <c r="A198" s="13">
        <v>197</v>
      </c>
      <c r="B198" s="7">
        <v>1</v>
      </c>
      <c r="C198" s="7" t="s">
        <v>27</v>
      </c>
      <c r="D198" s="7" t="s">
        <v>29</v>
      </c>
      <c r="E198" s="1" t="s">
        <v>42</v>
      </c>
      <c r="F198" s="8">
        <v>6</v>
      </c>
      <c r="G198" s="7">
        <v>72</v>
      </c>
      <c r="H198" s="35">
        <f t="shared" si="3"/>
        <v>8.3333333333333329E-2</v>
      </c>
      <c r="I198" s="9">
        <v>92</v>
      </c>
      <c r="J198" s="5">
        <v>100</v>
      </c>
      <c r="K198" s="5">
        <v>40</v>
      </c>
      <c r="L198" s="9">
        <v>24</v>
      </c>
      <c r="M198" s="1" t="s">
        <v>40</v>
      </c>
      <c r="N198" s="30">
        <v>13</v>
      </c>
      <c r="O198" s="7">
        <v>23</v>
      </c>
      <c r="P198" s="7">
        <v>0.3</v>
      </c>
      <c r="Q198" s="1" t="s">
        <v>24</v>
      </c>
      <c r="R198" s="7" t="s">
        <v>19</v>
      </c>
      <c r="S198" s="1" t="s">
        <v>25</v>
      </c>
      <c r="T198" s="54">
        <v>176383</v>
      </c>
      <c r="U198" s="54">
        <v>16</v>
      </c>
      <c r="V198" s="54">
        <v>2</v>
      </c>
      <c r="W198" s="54">
        <v>14</v>
      </c>
      <c r="X198" s="54" t="s">
        <v>48</v>
      </c>
      <c r="Y198" s="55">
        <v>0</v>
      </c>
    </row>
    <row r="199" spans="1:25" x14ac:dyDescent="0.3">
      <c r="A199" s="13">
        <v>198</v>
      </c>
      <c r="B199" s="7">
        <v>2</v>
      </c>
      <c r="C199" s="7" t="s">
        <v>27</v>
      </c>
      <c r="D199" s="7" t="s">
        <v>29</v>
      </c>
      <c r="E199" s="1" t="s">
        <v>16</v>
      </c>
      <c r="F199" s="8">
        <v>11</v>
      </c>
      <c r="G199" s="7">
        <v>78</v>
      </c>
      <c r="H199" s="35">
        <f t="shared" si="3"/>
        <v>0.14102564102564102</v>
      </c>
      <c r="I199" s="9">
        <v>126</v>
      </c>
      <c r="J199" s="5">
        <v>100</v>
      </c>
      <c r="K199" s="5">
        <v>60</v>
      </c>
      <c r="L199" s="9">
        <v>24</v>
      </c>
      <c r="M199" s="1"/>
      <c r="N199" s="30">
        <v>13.5</v>
      </c>
      <c r="O199" s="7">
        <v>18</v>
      </c>
      <c r="P199" s="7">
        <v>0.3</v>
      </c>
      <c r="Q199" s="1" t="s">
        <v>24</v>
      </c>
      <c r="R199" s="7" t="s">
        <v>19</v>
      </c>
      <c r="S199" s="1" t="s">
        <v>25</v>
      </c>
      <c r="T199" s="54">
        <v>233522</v>
      </c>
      <c r="U199" s="54">
        <v>15</v>
      </c>
      <c r="V199" s="54">
        <v>5</v>
      </c>
      <c r="W199" s="54">
        <v>10</v>
      </c>
      <c r="X199" s="54" t="s">
        <v>48</v>
      </c>
      <c r="Y199" s="55">
        <v>0</v>
      </c>
    </row>
    <row r="200" spans="1:25" x14ac:dyDescent="0.3">
      <c r="A200" s="13">
        <v>199</v>
      </c>
      <c r="B200" s="7">
        <v>7</v>
      </c>
      <c r="C200" s="7" t="s">
        <v>14</v>
      </c>
      <c r="D200" s="7" t="s">
        <v>29</v>
      </c>
      <c r="E200" s="1" t="s">
        <v>44</v>
      </c>
      <c r="F200" s="8">
        <v>16</v>
      </c>
      <c r="G200" s="7">
        <v>110</v>
      </c>
      <c r="H200" s="35">
        <f t="shared" si="3"/>
        <v>0.14545454545454545</v>
      </c>
      <c r="I200" s="9">
        <v>126</v>
      </c>
      <c r="J200" s="5">
        <v>80</v>
      </c>
      <c r="K200" s="5">
        <v>50</v>
      </c>
      <c r="L200" s="9">
        <v>26</v>
      </c>
      <c r="M200" s="1"/>
      <c r="N200" s="30">
        <v>11.5</v>
      </c>
      <c r="O200" s="7">
        <v>27</v>
      </c>
      <c r="P200" s="7">
        <v>0.3</v>
      </c>
      <c r="Q200" s="1" t="s">
        <v>24</v>
      </c>
      <c r="R200" s="7" t="s">
        <v>19</v>
      </c>
      <c r="S200" s="1" t="s">
        <v>25</v>
      </c>
      <c r="T200" s="54">
        <v>132585</v>
      </c>
      <c r="U200" s="54">
        <v>8</v>
      </c>
      <c r="V200" s="54">
        <v>3</v>
      </c>
      <c r="W200" s="54">
        <v>5</v>
      </c>
      <c r="X200" s="54" t="s">
        <v>48</v>
      </c>
      <c r="Y200" s="55">
        <v>0</v>
      </c>
    </row>
    <row r="201" spans="1:25" ht="26.4" x14ac:dyDescent="0.3">
      <c r="A201" s="13">
        <v>200</v>
      </c>
      <c r="B201" s="7">
        <v>1</v>
      </c>
      <c r="C201" s="7" t="s">
        <v>14</v>
      </c>
      <c r="D201" s="7" t="s">
        <v>29</v>
      </c>
      <c r="E201" s="1" t="s">
        <v>41</v>
      </c>
      <c r="F201" s="8">
        <v>9</v>
      </c>
      <c r="G201" s="7">
        <v>29</v>
      </c>
      <c r="H201" s="35">
        <f t="shared" si="3"/>
        <v>0.31034482758620691</v>
      </c>
      <c r="I201" s="9">
        <v>103</v>
      </c>
      <c r="J201" s="5"/>
      <c r="K201" s="5"/>
      <c r="L201" s="9">
        <v>26</v>
      </c>
      <c r="M201" s="1"/>
      <c r="N201" s="30">
        <v>23.3</v>
      </c>
      <c r="O201" s="7">
        <v>16</v>
      </c>
      <c r="P201" s="7">
        <v>0.5</v>
      </c>
      <c r="Q201" s="1" t="s">
        <v>24</v>
      </c>
      <c r="R201" s="7" t="s">
        <v>19</v>
      </c>
      <c r="S201" s="1" t="s">
        <v>25</v>
      </c>
      <c r="T201" s="54">
        <v>170654</v>
      </c>
      <c r="U201" s="54">
        <v>13</v>
      </c>
      <c r="V201" s="54">
        <v>2</v>
      </c>
      <c r="W201" s="54">
        <v>11</v>
      </c>
      <c r="X201" s="54" t="s">
        <v>48</v>
      </c>
      <c r="Y201" s="55">
        <v>0</v>
      </c>
    </row>
    <row r="202" spans="1:25" x14ac:dyDescent="0.3">
      <c r="A202" s="13">
        <v>201</v>
      </c>
      <c r="B202" s="7">
        <v>9</v>
      </c>
      <c r="C202" s="7" t="s">
        <v>14</v>
      </c>
      <c r="D202" s="7" t="s">
        <v>29</v>
      </c>
      <c r="E202" s="1" t="s">
        <v>42</v>
      </c>
      <c r="F202" s="8">
        <v>20.6</v>
      </c>
      <c r="G202" s="7">
        <v>128</v>
      </c>
      <c r="H202" s="35">
        <f t="shared" si="3"/>
        <v>0.16093750000000001</v>
      </c>
      <c r="I202" s="9">
        <v>75</v>
      </c>
      <c r="J202" s="5">
        <v>80</v>
      </c>
      <c r="K202" s="5">
        <v>50</v>
      </c>
      <c r="L202" s="9">
        <v>22</v>
      </c>
      <c r="M202" s="1"/>
      <c r="N202" s="30">
        <v>11.4</v>
      </c>
      <c r="O202" s="7">
        <v>25</v>
      </c>
      <c r="P202" s="7">
        <v>0.5</v>
      </c>
      <c r="Q202" s="1" t="s">
        <v>24</v>
      </c>
      <c r="R202" s="7" t="s">
        <v>19</v>
      </c>
      <c r="S202" s="1" t="s">
        <v>25</v>
      </c>
      <c r="T202" s="54">
        <v>119776</v>
      </c>
      <c r="U202" s="54">
        <v>7</v>
      </c>
      <c r="V202" s="54">
        <v>2</v>
      </c>
      <c r="W202" s="54">
        <v>5</v>
      </c>
      <c r="X202" s="54" t="s">
        <v>48</v>
      </c>
      <c r="Y202" s="55">
        <v>0</v>
      </c>
    </row>
    <row r="203" spans="1:25" x14ac:dyDescent="0.3">
      <c r="A203" s="13">
        <v>202</v>
      </c>
      <c r="B203" s="7">
        <v>6</v>
      </c>
      <c r="C203" s="7" t="s">
        <v>27</v>
      </c>
      <c r="D203" s="7" t="s">
        <v>29</v>
      </c>
      <c r="E203" s="1" t="s">
        <v>42</v>
      </c>
      <c r="F203" s="8">
        <v>22</v>
      </c>
      <c r="G203" s="7">
        <v>121</v>
      </c>
      <c r="H203" s="35">
        <f t="shared" si="3"/>
        <v>0.18181818181818182</v>
      </c>
      <c r="I203" s="9">
        <v>96</v>
      </c>
      <c r="J203" s="5">
        <v>90</v>
      </c>
      <c r="K203" s="5">
        <v>50</v>
      </c>
      <c r="L203" s="9">
        <v>20</v>
      </c>
      <c r="M203" s="1"/>
      <c r="N203" s="30">
        <v>13.2</v>
      </c>
      <c r="O203" s="7">
        <v>26</v>
      </c>
      <c r="P203" s="7">
        <v>0.9</v>
      </c>
      <c r="Q203" s="1" t="s">
        <v>24</v>
      </c>
      <c r="R203" s="7" t="s">
        <v>19</v>
      </c>
      <c r="S203" s="1" t="s">
        <v>25</v>
      </c>
      <c r="T203" s="54">
        <v>109117</v>
      </c>
      <c r="U203" s="54">
        <v>9</v>
      </c>
      <c r="V203" s="54">
        <v>1</v>
      </c>
      <c r="W203" s="54">
        <v>8</v>
      </c>
      <c r="X203" s="54" t="s">
        <v>48</v>
      </c>
      <c r="Y203" s="55">
        <v>0</v>
      </c>
    </row>
    <row r="204" spans="1:25" x14ac:dyDescent="0.3">
      <c r="A204" s="13">
        <v>203</v>
      </c>
      <c r="B204" s="7">
        <v>7</v>
      </c>
      <c r="C204" s="7" t="s">
        <v>14</v>
      </c>
      <c r="D204" s="7" t="s">
        <v>29</v>
      </c>
      <c r="E204" s="1" t="s">
        <v>16</v>
      </c>
      <c r="F204" s="8">
        <v>24</v>
      </c>
      <c r="G204" s="7">
        <v>129</v>
      </c>
      <c r="H204" s="35">
        <f t="shared" si="3"/>
        <v>0.18604651162790697</v>
      </c>
      <c r="I204" s="9">
        <v>104</v>
      </c>
      <c r="J204" s="5">
        <v>110</v>
      </c>
      <c r="K204" s="5">
        <v>60</v>
      </c>
      <c r="L204" s="9">
        <v>24</v>
      </c>
      <c r="M204" s="1"/>
      <c r="N204" s="30">
        <v>12</v>
      </c>
      <c r="O204" s="7">
        <v>22</v>
      </c>
      <c r="P204" s="7">
        <v>0.3</v>
      </c>
      <c r="Q204" s="1" t="s">
        <v>24</v>
      </c>
      <c r="R204" s="7" t="s">
        <v>19</v>
      </c>
      <c r="S204" s="1" t="s">
        <v>25</v>
      </c>
      <c r="T204" s="54">
        <v>174074</v>
      </c>
      <c r="U204" s="54">
        <v>9</v>
      </c>
      <c r="V204" s="54">
        <v>2</v>
      </c>
      <c r="W204" s="54">
        <v>7</v>
      </c>
      <c r="X204" s="54" t="s">
        <v>48</v>
      </c>
      <c r="Y204" s="55">
        <v>0</v>
      </c>
    </row>
    <row r="205" spans="1:25" x14ac:dyDescent="0.3">
      <c r="A205" s="13">
        <v>204</v>
      </c>
      <c r="B205" s="7">
        <v>10</v>
      </c>
      <c r="C205" s="7" t="s">
        <v>14</v>
      </c>
      <c r="D205" s="7" t="s">
        <v>29</v>
      </c>
      <c r="E205" s="1" t="s">
        <v>44</v>
      </c>
      <c r="F205" s="8">
        <v>6</v>
      </c>
      <c r="G205" s="7">
        <v>26</v>
      </c>
      <c r="H205" s="35">
        <f t="shared" si="3"/>
        <v>0.23076923076923078</v>
      </c>
      <c r="I205" s="9">
        <v>120</v>
      </c>
      <c r="J205" s="5"/>
      <c r="K205" s="5"/>
      <c r="L205" s="9">
        <v>26</v>
      </c>
      <c r="M205" s="1"/>
      <c r="N205" s="30">
        <v>12.5</v>
      </c>
      <c r="O205" s="7">
        <v>15</v>
      </c>
      <c r="P205" s="7">
        <v>0.3</v>
      </c>
      <c r="Q205" s="1" t="s">
        <v>24</v>
      </c>
      <c r="R205" s="7" t="s">
        <v>19</v>
      </c>
      <c r="S205" s="1" t="s">
        <v>25</v>
      </c>
      <c r="T205" s="54">
        <v>169641</v>
      </c>
      <c r="U205" s="54">
        <v>10</v>
      </c>
      <c r="V205" s="54">
        <v>3</v>
      </c>
      <c r="W205" s="54">
        <v>7</v>
      </c>
      <c r="X205" s="54" t="s">
        <v>48</v>
      </c>
      <c r="Y205" s="55">
        <v>0</v>
      </c>
    </row>
    <row r="206" spans="1:25" x14ac:dyDescent="0.3">
      <c r="A206" s="13">
        <v>205</v>
      </c>
      <c r="B206" s="7">
        <v>12</v>
      </c>
      <c r="C206" s="7" t="s">
        <v>27</v>
      </c>
      <c r="D206" s="7" t="s">
        <v>29</v>
      </c>
      <c r="E206" s="1" t="s">
        <v>16</v>
      </c>
      <c r="F206" s="8">
        <v>26</v>
      </c>
      <c r="G206" s="7">
        <v>55</v>
      </c>
      <c r="H206" s="35">
        <f t="shared" si="3"/>
        <v>0.47272727272727272</v>
      </c>
      <c r="I206" s="9">
        <v>58</v>
      </c>
      <c r="J206" s="5">
        <v>90</v>
      </c>
      <c r="K206" s="5">
        <v>60</v>
      </c>
      <c r="L206" s="9">
        <v>26</v>
      </c>
      <c r="M206" s="1" t="s">
        <v>40</v>
      </c>
      <c r="N206" s="30">
        <v>14.6</v>
      </c>
      <c r="O206" s="7">
        <v>23</v>
      </c>
      <c r="P206" s="7">
        <v>0.3</v>
      </c>
      <c r="Q206" s="1" t="s">
        <v>24</v>
      </c>
      <c r="R206" s="7" t="s">
        <v>19</v>
      </c>
      <c r="S206" s="1" t="s">
        <v>25</v>
      </c>
      <c r="T206" s="54">
        <v>58943</v>
      </c>
      <c r="U206" s="54">
        <v>5</v>
      </c>
      <c r="V206" s="54">
        <v>3</v>
      </c>
      <c r="W206" s="54">
        <v>2</v>
      </c>
      <c r="X206" s="54" t="s">
        <v>48</v>
      </c>
      <c r="Y206" s="55">
        <v>0</v>
      </c>
    </row>
    <row r="207" spans="1:25" x14ac:dyDescent="0.3">
      <c r="A207" s="13">
        <v>206</v>
      </c>
      <c r="B207" s="7">
        <v>1</v>
      </c>
      <c r="C207" s="7" t="s">
        <v>14</v>
      </c>
      <c r="D207" s="7" t="s">
        <v>29</v>
      </c>
      <c r="E207" s="1" t="s">
        <v>16</v>
      </c>
      <c r="F207" s="8">
        <v>9</v>
      </c>
      <c r="G207" s="7">
        <v>80</v>
      </c>
      <c r="H207" s="35">
        <f t="shared" si="3"/>
        <v>0.1125</v>
      </c>
      <c r="I207" s="9">
        <v>100</v>
      </c>
      <c r="J207" s="5">
        <v>90</v>
      </c>
      <c r="K207" s="5">
        <v>60</v>
      </c>
      <c r="L207" s="9">
        <v>30</v>
      </c>
      <c r="M207" s="1"/>
      <c r="N207" s="30">
        <v>11.4</v>
      </c>
      <c r="O207" s="7">
        <v>23</v>
      </c>
      <c r="P207" s="7">
        <v>0.3</v>
      </c>
      <c r="Q207" s="1" t="s">
        <v>24</v>
      </c>
      <c r="R207" s="7" t="s">
        <v>19</v>
      </c>
      <c r="S207" s="1" t="s">
        <v>25</v>
      </c>
      <c r="T207" s="54">
        <v>136040</v>
      </c>
      <c r="U207" s="54">
        <v>8</v>
      </c>
      <c r="V207" s="54">
        <v>1</v>
      </c>
      <c r="W207" s="54">
        <v>7</v>
      </c>
      <c r="X207" s="54" t="s">
        <v>48</v>
      </c>
      <c r="Y207" s="55">
        <v>0</v>
      </c>
    </row>
    <row r="208" spans="1:25" x14ac:dyDescent="0.3">
      <c r="A208" s="13">
        <v>207</v>
      </c>
      <c r="B208" s="7">
        <v>1</v>
      </c>
      <c r="C208" s="7" t="s">
        <v>27</v>
      </c>
      <c r="D208" s="7" t="s">
        <v>29</v>
      </c>
      <c r="E208" s="1" t="s">
        <v>38</v>
      </c>
      <c r="F208" s="8">
        <v>8.3000000000000007</v>
      </c>
      <c r="G208" s="7">
        <v>74</v>
      </c>
      <c r="H208" s="35">
        <f t="shared" si="3"/>
        <v>0.11216216216216217</v>
      </c>
      <c r="I208" s="9">
        <v>100</v>
      </c>
      <c r="J208" s="5"/>
      <c r="K208" s="5"/>
      <c r="L208" s="9">
        <v>24</v>
      </c>
      <c r="M208" s="1"/>
      <c r="N208" s="30">
        <v>12.3</v>
      </c>
      <c r="O208" s="7">
        <v>23</v>
      </c>
      <c r="P208" s="7">
        <v>0.3</v>
      </c>
      <c r="Q208" s="1" t="s">
        <v>24</v>
      </c>
      <c r="R208" s="7" t="s">
        <v>19</v>
      </c>
      <c r="S208" s="1" t="s">
        <v>25</v>
      </c>
      <c r="T208" s="54">
        <v>78215</v>
      </c>
      <c r="U208" s="54">
        <v>7</v>
      </c>
      <c r="V208" s="54">
        <v>2</v>
      </c>
      <c r="W208" s="54">
        <v>5</v>
      </c>
      <c r="X208" s="54" t="s">
        <v>48</v>
      </c>
      <c r="Y208" s="55">
        <v>0</v>
      </c>
    </row>
    <row r="209" spans="1:25" x14ac:dyDescent="0.3">
      <c r="A209" s="13">
        <v>208</v>
      </c>
      <c r="B209" s="7">
        <v>4</v>
      </c>
      <c r="C209" s="7" t="s">
        <v>14</v>
      </c>
      <c r="D209" s="7" t="s">
        <v>29</v>
      </c>
      <c r="E209" s="1" t="s">
        <v>16</v>
      </c>
      <c r="F209" s="8">
        <v>15</v>
      </c>
      <c r="G209" s="7">
        <v>105</v>
      </c>
      <c r="H209" s="35">
        <f t="shared" si="3"/>
        <v>0.14285714285714285</v>
      </c>
      <c r="I209" s="9">
        <v>100</v>
      </c>
      <c r="J209" s="5">
        <v>110</v>
      </c>
      <c r="K209" s="5">
        <v>50</v>
      </c>
      <c r="L209" s="9">
        <v>24</v>
      </c>
      <c r="M209" s="1"/>
      <c r="N209" s="30">
        <v>13</v>
      </c>
      <c r="O209" s="7">
        <v>21</v>
      </c>
      <c r="P209" s="7">
        <v>0.3</v>
      </c>
      <c r="Q209" s="1" t="s">
        <v>24</v>
      </c>
      <c r="R209" s="7" t="s">
        <v>19</v>
      </c>
      <c r="S209" s="1" t="s">
        <v>25</v>
      </c>
      <c r="T209" s="54">
        <v>73218</v>
      </c>
      <c r="U209" s="54">
        <v>7</v>
      </c>
      <c r="V209" s="54">
        <v>2</v>
      </c>
      <c r="W209" s="54">
        <v>5</v>
      </c>
      <c r="X209" s="54" t="s">
        <v>48</v>
      </c>
      <c r="Y209" s="55">
        <v>0</v>
      </c>
    </row>
    <row r="210" spans="1:25" x14ac:dyDescent="0.3">
      <c r="A210" s="13">
        <v>209</v>
      </c>
      <c r="B210" s="7">
        <v>4</v>
      </c>
      <c r="C210" s="7" t="s">
        <v>14</v>
      </c>
      <c r="D210" s="7" t="s">
        <v>29</v>
      </c>
      <c r="E210" s="1" t="s">
        <v>42</v>
      </c>
      <c r="F210" s="8">
        <v>14.2</v>
      </c>
      <c r="G210" s="7">
        <v>98</v>
      </c>
      <c r="H210" s="35">
        <f t="shared" si="3"/>
        <v>0.14489795918367346</v>
      </c>
      <c r="I210" s="9">
        <v>93</v>
      </c>
      <c r="J210" s="5">
        <v>90</v>
      </c>
      <c r="K210" s="5">
        <v>60</v>
      </c>
      <c r="L210" s="9">
        <v>28</v>
      </c>
      <c r="M210" s="1"/>
      <c r="N210" s="30">
        <v>13.1</v>
      </c>
      <c r="O210" s="7">
        <v>19</v>
      </c>
      <c r="P210" s="7">
        <v>0.3</v>
      </c>
      <c r="Q210" s="1" t="s">
        <v>24</v>
      </c>
      <c r="R210" s="7" t="s">
        <v>19</v>
      </c>
      <c r="S210" s="1" t="s">
        <v>25</v>
      </c>
      <c r="T210" s="54">
        <v>51009</v>
      </c>
      <c r="U210" s="54">
        <v>6</v>
      </c>
      <c r="V210" s="54">
        <v>1</v>
      </c>
      <c r="W210" s="54">
        <v>5</v>
      </c>
      <c r="X210" s="54" t="s">
        <v>48</v>
      </c>
      <c r="Y210" s="55">
        <v>0</v>
      </c>
    </row>
    <row r="211" spans="1:25" x14ac:dyDescent="0.3">
      <c r="A211" s="13">
        <v>210</v>
      </c>
      <c r="B211" s="7">
        <v>61</v>
      </c>
      <c r="C211" s="7" t="s">
        <v>14</v>
      </c>
      <c r="D211" s="7" t="s">
        <v>15</v>
      </c>
      <c r="E211" s="1" t="s">
        <v>28</v>
      </c>
      <c r="F211" s="8">
        <v>49</v>
      </c>
      <c r="G211" s="7">
        <v>160</v>
      </c>
      <c r="H211" s="35">
        <f t="shared" si="3"/>
        <v>0.30625000000000002</v>
      </c>
      <c r="I211" s="9">
        <v>76</v>
      </c>
      <c r="J211" s="5">
        <v>90</v>
      </c>
      <c r="K211" s="5">
        <v>60</v>
      </c>
      <c r="L211" s="9">
        <v>24</v>
      </c>
      <c r="M211" s="1" t="s">
        <v>26</v>
      </c>
      <c r="N211" s="30">
        <v>13.5</v>
      </c>
      <c r="O211" s="7">
        <v>32</v>
      </c>
      <c r="P211" s="7">
        <v>0.6</v>
      </c>
      <c r="Q211" s="1" t="s">
        <v>24</v>
      </c>
      <c r="R211" s="7" t="s">
        <v>19</v>
      </c>
      <c r="S211" s="1" t="s">
        <v>25</v>
      </c>
      <c r="T211" s="54">
        <v>210622</v>
      </c>
      <c r="U211" s="54">
        <v>10</v>
      </c>
      <c r="V211" s="54">
        <v>1</v>
      </c>
      <c r="W211" s="54">
        <v>9</v>
      </c>
      <c r="X211" s="54" t="s">
        <v>47</v>
      </c>
      <c r="Y211" s="55">
        <v>51450</v>
      </c>
    </row>
    <row r="212" spans="1:25" x14ac:dyDescent="0.3">
      <c r="A212" s="13">
        <v>211</v>
      </c>
      <c r="B212" s="7">
        <v>20</v>
      </c>
      <c r="C212" s="7" t="s">
        <v>14</v>
      </c>
      <c r="D212" s="7" t="s">
        <v>29</v>
      </c>
      <c r="E212" s="1" t="s">
        <v>28</v>
      </c>
      <c r="F212" s="8">
        <v>54</v>
      </c>
      <c r="G212" s="7">
        <v>171</v>
      </c>
      <c r="H212" s="35">
        <f t="shared" si="3"/>
        <v>0.31578947368421051</v>
      </c>
      <c r="I212" s="9">
        <v>84</v>
      </c>
      <c r="J212" s="5">
        <v>130</v>
      </c>
      <c r="K212" s="5">
        <v>80</v>
      </c>
      <c r="L212" s="9">
        <v>20</v>
      </c>
      <c r="M212" s="1"/>
      <c r="N212" s="30">
        <v>7</v>
      </c>
      <c r="O212" s="7"/>
      <c r="P212" s="7"/>
      <c r="Q212" s="1" t="s">
        <v>24</v>
      </c>
      <c r="R212" s="7" t="s">
        <v>19</v>
      </c>
      <c r="S212" s="1" t="s">
        <v>25</v>
      </c>
      <c r="T212" s="54">
        <v>260869</v>
      </c>
      <c r="U212" s="54">
        <v>8</v>
      </c>
      <c r="V212" s="54">
        <v>2</v>
      </c>
      <c r="W212" s="54">
        <v>6</v>
      </c>
      <c r="X212" s="54" t="s">
        <v>47</v>
      </c>
      <c r="Y212" s="55">
        <v>60000</v>
      </c>
    </row>
    <row r="213" spans="1:25" x14ac:dyDescent="0.3">
      <c r="A213" s="13">
        <v>212</v>
      </c>
      <c r="B213" s="30">
        <v>0.66666666666666663</v>
      </c>
      <c r="C213" s="7" t="s">
        <v>27</v>
      </c>
      <c r="D213" s="7" t="s">
        <v>29</v>
      </c>
      <c r="E213" s="1" t="s">
        <v>42</v>
      </c>
      <c r="F213" s="8">
        <v>2.4</v>
      </c>
      <c r="G213" s="7">
        <v>47</v>
      </c>
      <c r="H213" s="35">
        <f t="shared" si="3"/>
        <v>5.106382978723404E-2</v>
      </c>
      <c r="I213" s="9">
        <v>134</v>
      </c>
      <c r="J213" s="5"/>
      <c r="K213" s="5"/>
      <c r="L213" s="9">
        <v>34</v>
      </c>
      <c r="M213" s="1"/>
      <c r="N213" s="30">
        <v>12</v>
      </c>
      <c r="O213" s="7">
        <v>18</v>
      </c>
      <c r="P213" s="7">
        <v>0.3</v>
      </c>
      <c r="Q213" s="1" t="s">
        <v>24</v>
      </c>
      <c r="R213" s="7" t="s">
        <v>19</v>
      </c>
      <c r="S213" s="1" t="s">
        <v>25</v>
      </c>
      <c r="T213" s="54">
        <v>48156</v>
      </c>
      <c r="U213" s="54">
        <v>6</v>
      </c>
      <c r="V213" s="54">
        <v>1</v>
      </c>
      <c r="W213" s="54">
        <v>5</v>
      </c>
      <c r="X213" s="54" t="s">
        <v>48</v>
      </c>
      <c r="Y213" s="55">
        <v>0</v>
      </c>
    </row>
    <row r="214" spans="1:25" x14ac:dyDescent="0.3">
      <c r="A214" s="13">
        <v>213</v>
      </c>
      <c r="B214" s="7">
        <v>3</v>
      </c>
      <c r="C214" s="7" t="s">
        <v>14</v>
      </c>
      <c r="D214" s="7" t="s">
        <v>29</v>
      </c>
      <c r="E214" s="1" t="s">
        <v>16</v>
      </c>
      <c r="F214" s="8">
        <v>15</v>
      </c>
      <c r="G214" s="7">
        <v>100</v>
      </c>
      <c r="H214" s="35">
        <f t="shared" si="3"/>
        <v>0.15</v>
      </c>
      <c r="I214" s="9">
        <v>90</v>
      </c>
      <c r="J214" s="5">
        <v>110</v>
      </c>
      <c r="K214" s="5">
        <v>60</v>
      </c>
      <c r="L214" s="9">
        <v>22</v>
      </c>
      <c r="M214" s="1" t="s">
        <v>40</v>
      </c>
      <c r="N214" s="30">
        <v>10.7</v>
      </c>
      <c r="O214" s="7">
        <v>20</v>
      </c>
      <c r="P214" s="7">
        <v>0.1</v>
      </c>
      <c r="Q214" s="1" t="s">
        <v>24</v>
      </c>
      <c r="R214" s="7" t="s">
        <v>19</v>
      </c>
      <c r="S214" s="1" t="s">
        <v>25</v>
      </c>
      <c r="T214" s="54">
        <v>69509</v>
      </c>
      <c r="U214" s="54">
        <v>9</v>
      </c>
      <c r="V214" s="54">
        <v>2</v>
      </c>
      <c r="W214" s="54">
        <v>7</v>
      </c>
      <c r="X214" s="54" t="s">
        <v>48</v>
      </c>
      <c r="Y214" s="55">
        <v>0</v>
      </c>
    </row>
    <row r="215" spans="1:25" x14ac:dyDescent="0.3">
      <c r="A215" s="13">
        <v>214</v>
      </c>
      <c r="B215" s="7">
        <v>1</v>
      </c>
      <c r="C215" s="7" t="s">
        <v>27</v>
      </c>
      <c r="D215" s="7" t="s">
        <v>29</v>
      </c>
      <c r="E215" s="1" t="s">
        <v>42</v>
      </c>
      <c r="F215" s="8">
        <v>9.6999999999999993</v>
      </c>
      <c r="G215" s="7">
        <v>78</v>
      </c>
      <c r="H215" s="35">
        <f t="shared" si="3"/>
        <v>0.12435897435897435</v>
      </c>
      <c r="I215" s="9">
        <v>112</v>
      </c>
      <c r="J215" s="5">
        <v>80</v>
      </c>
      <c r="K215" s="5">
        <v>40</v>
      </c>
      <c r="L215" s="9">
        <v>22</v>
      </c>
      <c r="M215" s="1"/>
      <c r="N215" s="30">
        <v>8.6999999999999993</v>
      </c>
      <c r="O215" s="7">
        <v>15</v>
      </c>
      <c r="P215" s="7">
        <v>0.3</v>
      </c>
      <c r="Q215" s="7" t="s">
        <v>37</v>
      </c>
      <c r="R215" s="7" t="s">
        <v>19</v>
      </c>
      <c r="S215" s="1" t="s">
        <v>25</v>
      </c>
      <c r="T215" s="54">
        <v>46093</v>
      </c>
      <c r="U215" s="54">
        <v>6</v>
      </c>
      <c r="V215" s="54">
        <v>1</v>
      </c>
      <c r="W215" s="54">
        <v>5</v>
      </c>
      <c r="X215" s="54" t="s">
        <v>48</v>
      </c>
      <c r="Y215" s="55">
        <v>0</v>
      </c>
    </row>
    <row r="216" spans="1:25" x14ac:dyDescent="0.3">
      <c r="A216" s="13">
        <v>215</v>
      </c>
      <c r="B216" s="7">
        <v>56</v>
      </c>
      <c r="C216" s="7" t="s">
        <v>14</v>
      </c>
      <c r="D216" s="7" t="s">
        <v>15</v>
      </c>
      <c r="E216" s="1" t="s">
        <v>22</v>
      </c>
      <c r="F216" s="8">
        <v>78</v>
      </c>
      <c r="G216" s="7">
        <v>169</v>
      </c>
      <c r="H216" s="35">
        <f t="shared" si="3"/>
        <v>0.46153846153846156</v>
      </c>
      <c r="I216" s="9">
        <v>70</v>
      </c>
      <c r="J216" s="5">
        <v>170</v>
      </c>
      <c r="K216" s="5">
        <v>110</v>
      </c>
      <c r="L216" s="9">
        <v>20</v>
      </c>
      <c r="M216" s="1" t="s">
        <v>32</v>
      </c>
      <c r="N216" s="30">
        <v>13.4</v>
      </c>
      <c r="O216" s="7">
        <v>20</v>
      </c>
      <c r="P216" s="7"/>
      <c r="Q216" s="1" t="s">
        <v>24</v>
      </c>
      <c r="R216" s="7" t="s">
        <v>19</v>
      </c>
      <c r="S216" s="1" t="s">
        <v>25</v>
      </c>
      <c r="T216" s="54">
        <v>188824</v>
      </c>
      <c r="U216" s="54">
        <v>9</v>
      </c>
      <c r="V216" s="54">
        <v>5</v>
      </c>
      <c r="W216" s="54">
        <v>4</v>
      </c>
      <c r="X216" s="54" t="s">
        <v>48</v>
      </c>
      <c r="Y216" s="55">
        <v>0</v>
      </c>
    </row>
    <row r="217" spans="1:25" x14ac:dyDescent="0.3">
      <c r="A217" s="13">
        <v>216</v>
      </c>
      <c r="B217" s="7">
        <v>45</v>
      </c>
      <c r="C217" s="7" t="s">
        <v>14</v>
      </c>
      <c r="D217" s="7" t="s">
        <v>15</v>
      </c>
      <c r="E217" s="1" t="s">
        <v>22</v>
      </c>
      <c r="F217" s="8">
        <v>70</v>
      </c>
      <c r="G217" s="7">
        <v>160</v>
      </c>
      <c r="H217" s="35">
        <f t="shared" si="3"/>
        <v>0.4375</v>
      </c>
      <c r="I217" s="9">
        <v>70</v>
      </c>
      <c r="J217" s="5">
        <v>130</v>
      </c>
      <c r="K217" s="5">
        <v>90</v>
      </c>
      <c r="L217" s="9">
        <v>24</v>
      </c>
      <c r="M217" s="1"/>
      <c r="N217" s="30">
        <v>15</v>
      </c>
      <c r="O217" s="7">
        <v>18</v>
      </c>
      <c r="P217" s="7">
        <v>0.9</v>
      </c>
      <c r="Q217" s="1" t="s">
        <v>24</v>
      </c>
      <c r="R217" s="7" t="s">
        <v>19</v>
      </c>
      <c r="S217" s="1" t="s">
        <v>25</v>
      </c>
      <c r="T217" s="54">
        <v>143482</v>
      </c>
      <c r="U217" s="54">
        <v>10</v>
      </c>
      <c r="V217" s="54">
        <v>2</v>
      </c>
      <c r="W217" s="54">
        <v>8</v>
      </c>
      <c r="X217" s="54" t="s">
        <v>48</v>
      </c>
      <c r="Y217" s="55">
        <v>0</v>
      </c>
    </row>
    <row r="218" spans="1:25" ht="26.4" x14ac:dyDescent="0.3">
      <c r="A218" s="13">
        <v>217</v>
      </c>
      <c r="B218" s="7">
        <v>11</v>
      </c>
      <c r="C218" s="7" t="s">
        <v>14</v>
      </c>
      <c r="D218" s="7" t="s">
        <v>29</v>
      </c>
      <c r="E218" s="1" t="s">
        <v>41</v>
      </c>
      <c r="F218" s="8">
        <v>19</v>
      </c>
      <c r="G218" s="7">
        <v>124</v>
      </c>
      <c r="H218" s="35">
        <f t="shared" si="3"/>
        <v>0.15322580645161291</v>
      </c>
      <c r="I218" s="9">
        <v>120</v>
      </c>
      <c r="J218" s="5">
        <v>100</v>
      </c>
      <c r="K218" s="5">
        <v>60</v>
      </c>
      <c r="L218" s="9">
        <v>22</v>
      </c>
      <c r="M218" s="1"/>
      <c r="N218" s="30">
        <v>23.8</v>
      </c>
      <c r="O218" s="7"/>
      <c r="P218" s="7"/>
      <c r="Q218" s="1" t="s">
        <v>24</v>
      </c>
      <c r="R218" s="7" t="s">
        <v>19</v>
      </c>
      <c r="S218" s="1" t="s">
        <v>25</v>
      </c>
      <c r="T218" s="54">
        <v>220899</v>
      </c>
      <c r="U218" s="54">
        <v>17</v>
      </c>
      <c r="V218" s="54">
        <v>3</v>
      </c>
      <c r="W218" s="54">
        <v>14</v>
      </c>
      <c r="X218" s="54" t="s">
        <v>48</v>
      </c>
      <c r="Y218" s="55">
        <v>0</v>
      </c>
    </row>
    <row r="219" spans="1:25" x14ac:dyDescent="0.3">
      <c r="A219" s="13">
        <v>218</v>
      </c>
      <c r="B219" s="7">
        <v>58</v>
      </c>
      <c r="C219" s="7" t="s">
        <v>14</v>
      </c>
      <c r="D219" s="7" t="s">
        <v>15</v>
      </c>
      <c r="E219" s="1" t="s">
        <v>21</v>
      </c>
      <c r="F219" s="8">
        <v>63</v>
      </c>
      <c r="G219" s="7">
        <v>156</v>
      </c>
      <c r="H219" s="35">
        <f t="shared" si="3"/>
        <v>0.40384615384615385</v>
      </c>
      <c r="I219" s="9">
        <v>72</v>
      </c>
      <c r="J219" s="5">
        <v>140</v>
      </c>
      <c r="K219" s="5">
        <v>90</v>
      </c>
      <c r="L219" s="9">
        <v>14</v>
      </c>
      <c r="M219" s="1"/>
      <c r="N219" s="30">
        <v>14.1</v>
      </c>
      <c r="O219" s="7">
        <v>17</v>
      </c>
      <c r="P219" s="7">
        <v>0.7</v>
      </c>
      <c r="Q219" s="1" t="s">
        <v>24</v>
      </c>
      <c r="R219" s="7" t="s">
        <v>19</v>
      </c>
      <c r="S219" s="1" t="s">
        <v>25</v>
      </c>
      <c r="T219" s="54">
        <v>151931</v>
      </c>
      <c r="U219" s="54">
        <v>8</v>
      </c>
      <c r="V219" s="54">
        <v>2</v>
      </c>
      <c r="W219" s="54">
        <v>6</v>
      </c>
      <c r="X219" s="54" t="s">
        <v>48</v>
      </c>
      <c r="Y219" s="55">
        <v>0</v>
      </c>
    </row>
    <row r="220" spans="1:25" x14ac:dyDescent="0.3">
      <c r="A220" s="13">
        <v>219</v>
      </c>
      <c r="B220" s="7">
        <v>20</v>
      </c>
      <c r="C220" s="7" t="s">
        <v>27</v>
      </c>
      <c r="D220" s="7" t="s">
        <v>29</v>
      </c>
      <c r="E220" s="1" t="s">
        <v>28</v>
      </c>
      <c r="F220" s="8">
        <v>45</v>
      </c>
      <c r="G220" s="7">
        <v>147</v>
      </c>
      <c r="H220" s="35">
        <f t="shared" si="3"/>
        <v>0.30612244897959184</v>
      </c>
      <c r="I220" s="9">
        <v>88</v>
      </c>
      <c r="J220" s="5">
        <v>120</v>
      </c>
      <c r="K220" s="5">
        <v>80</v>
      </c>
      <c r="L220" s="9">
        <v>22</v>
      </c>
      <c r="M220" s="1" t="s">
        <v>40</v>
      </c>
      <c r="N220" s="30">
        <v>11.9</v>
      </c>
      <c r="O220" s="7">
        <v>19</v>
      </c>
      <c r="P220" s="7">
        <v>0.5</v>
      </c>
      <c r="Q220" s="1" t="s">
        <v>24</v>
      </c>
      <c r="R220" s="7" t="s">
        <v>19</v>
      </c>
      <c r="S220" s="1" t="s">
        <v>25</v>
      </c>
      <c r="T220" s="54">
        <v>156374</v>
      </c>
      <c r="U220" s="54">
        <v>8</v>
      </c>
      <c r="V220" s="54">
        <v>1</v>
      </c>
      <c r="W220" s="54">
        <v>7</v>
      </c>
      <c r="X220" s="54" t="s">
        <v>47</v>
      </c>
      <c r="Y220" s="55">
        <v>20900</v>
      </c>
    </row>
    <row r="221" spans="1:25" ht="26.4" x14ac:dyDescent="0.3">
      <c r="A221" s="13">
        <v>220</v>
      </c>
      <c r="B221" s="7">
        <v>1</v>
      </c>
      <c r="C221" s="7" t="s">
        <v>27</v>
      </c>
      <c r="D221" s="7" t="s">
        <v>29</v>
      </c>
      <c r="E221" s="1" t="s">
        <v>41</v>
      </c>
      <c r="F221" s="8">
        <v>10</v>
      </c>
      <c r="G221" s="7">
        <v>70</v>
      </c>
      <c r="H221" s="35">
        <f t="shared" si="3"/>
        <v>0.14285714285714285</v>
      </c>
      <c r="I221" s="9">
        <v>108</v>
      </c>
      <c r="J221" s="5"/>
      <c r="K221" s="5"/>
      <c r="L221" s="9">
        <v>24</v>
      </c>
      <c r="M221" s="1"/>
      <c r="N221" s="30">
        <v>11.9</v>
      </c>
      <c r="O221" s="7">
        <v>15</v>
      </c>
      <c r="P221" s="7">
        <v>0.3</v>
      </c>
      <c r="Q221" s="1" t="s">
        <v>24</v>
      </c>
      <c r="R221" s="7" t="s">
        <v>19</v>
      </c>
      <c r="S221" s="1" t="s">
        <v>25</v>
      </c>
      <c r="T221" s="54">
        <v>238320</v>
      </c>
      <c r="U221" s="54">
        <v>13</v>
      </c>
      <c r="V221" s="54">
        <v>3</v>
      </c>
      <c r="W221" s="54">
        <v>10</v>
      </c>
      <c r="X221" s="54" t="s">
        <v>48</v>
      </c>
      <c r="Y221" s="55">
        <v>0</v>
      </c>
    </row>
    <row r="222" spans="1:25" x14ac:dyDescent="0.3">
      <c r="A222" s="13">
        <v>221</v>
      </c>
      <c r="B222" s="7">
        <v>24</v>
      </c>
      <c r="C222" s="7" t="s">
        <v>14</v>
      </c>
      <c r="D222" s="7" t="s">
        <v>29</v>
      </c>
      <c r="E222" s="1" t="s">
        <v>43</v>
      </c>
      <c r="F222" s="8">
        <v>74.8</v>
      </c>
      <c r="G222" s="7">
        <v>158</v>
      </c>
      <c r="H222" s="35">
        <f t="shared" si="3"/>
        <v>0.47341772151898731</v>
      </c>
      <c r="I222" s="9">
        <v>78</v>
      </c>
      <c r="J222" s="5">
        <v>120</v>
      </c>
      <c r="K222" s="5">
        <v>80</v>
      </c>
      <c r="L222" s="9">
        <v>20</v>
      </c>
      <c r="M222" s="1"/>
      <c r="N222" s="30">
        <v>11.4</v>
      </c>
      <c r="O222" s="7">
        <v>19</v>
      </c>
      <c r="P222" s="7">
        <v>1.3</v>
      </c>
      <c r="Q222" s="1" t="s">
        <v>24</v>
      </c>
      <c r="R222" s="7" t="s">
        <v>19</v>
      </c>
      <c r="S222" s="1" t="s">
        <v>25</v>
      </c>
      <c r="T222" s="54">
        <v>205998</v>
      </c>
      <c r="U222" s="54">
        <v>10</v>
      </c>
      <c r="V222" s="54">
        <v>3</v>
      </c>
      <c r="W222" s="54">
        <v>7</v>
      </c>
      <c r="X222" s="54" t="s">
        <v>48</v>
      </c>
      <c r="Y222" s="55">
        <v>0</v>
      </c>
    </row>
    <row r="223" spans="1:25" x14ac:dyDescent="0.3">
      <c r="A223" s="13">
        <v>222</v>
      </c>
      <c r="B223" s="7">
        <v>44</v>
      </c>
      <c r="C223" s="7" t="s">
        <v>14</v>
      </c>
      <c r="D223" s="7" t="s">
        <v>15</v>
      </c>
      <c r="E223" s="1"/>
      <c r="F223" s="8">
        <v>62</v>
      </c>
      <c r="G223" s="7">
        <v>165</v>
      </c>
      <c r="H223" s="35">
        <f t="shared" si="3"/>
        <v>0.37575757575757573</v>
      </c>
      <c r="I223" s="9">
        <v>80</v>
      </c>
      <c r="J223" s="5">
        <v>130</v>
      </c>
      <c r="K223" s="5">
        <v>80</v>
      </c>
      <c r="L223" s="9">
        <v>24</v>
      </c>
      <c r="M223" s="1" t="s">
        <v>31</v>
      </c>
      <c r="N223" s="30">
        <v>8.1</v>
      </c>
      <c r="O223" s="7"/>
      <c r="P223" s="7"/>
      <c r="Q223" s="1" t="s">
        <v>24</v>
      </c>
      <c r="R223" s="7" t="s">
        <v>19</v>
      </c>
      <c r="S223" s="1" t="s">
        <v>25</v>
      </c>
      <c r="T223" s="54">
        <v>78251</v>
      </c>
      <c r="U223" s="54">
        <v>11</v>
      </c>
      <c r="V223" s="54">
        <v>1</v>
      </c>
      <c r="W223" s="54">
        <v>10</v>
      </c>
      <c r="X223" s="54" t="s">
        <v>48</v>
      </c>
      <c r="Y223" s="55">
        <v>0</v>
      </c>
    </row>
    <row r="224" spans="1:25" ht="26.4" x14ac:dyDescent="0.3">
      <c r="A224" s="13">
        <v>223</v>
      </c>
      <c r="B224" s="7">
        <v>17</v>
      </c>
      <c r="C224" s="7" t="s">
        <v>14</v>
      </c>
      <c r="D224" s="7" t="s">
        <v>29</v>
      </c>
      <c r="E224" s="1" t="s">
        <v>41</v>
      </c>
      <c r="F224" s="8">
        <v>46.8</v>
      </c>
      <c r="G224" s="7">
        <v>158</v>
      </c>
      <c r="H224" s="35">
        <f t="shared" si="3"/>
        <v>0.29620253164556959</v>
      </c>
      <c r="I224" s="9">
        <v>76</v>
      </c>
      <c r="J224" s="5">
        <v>130</v>
      </c>
      <c r="K224" s="5">
        <v>90</v>
      </c>
      <c r="L224" s="9">
        <v>22</v>
      </c>
      <c r="M224" s="1"/>
      <c r="N224" s="30">
        <v>15.1</v>
      </c>
      <c r="O224" s="7">
        <v>34</v>
      </c>
      <c r="P224" s="7">
        <v>0.8</v>
      </c>
      <c r="Q224" s="1" t="s">
        <v>24</v>
      </c>
      <c r="R224" s="7" t="s">
        <v>19</v>
      </c>
      <c r="S224" s="1" t="s">
        <v>25</v>
      </c>
      <c r="T224" s="54">
        <v>175576</v>
      </c>
      <c r="U224" s="54">
        <v>12</v>
      </c>
      <c r="V224" s="54">
        <v>2</v>
      </c>
      <c r="W224" s="54">
        <v>10</v>
      </c>
      <c r="X224" s="54" t="s">
        <v>48</v>
      </c>
      <c r="Y224" s="55">
        <v>0</v>
      </c>
    </row>
    <row r="225" spans="1:25" x14ac:dyDescent="0.3">
      <c r="A225" s="13">
        <v>224</v>
      </c>
      <c r="B225" s="7">
        <v>26</v>
      </c>
      <c r="C225" s="7" t="s">
        <v>14</v>
      </c>
      <c r="D225" s="7" t="s">
        <v>15</v>
      </c>
      <c r="E225" s="1" t="s">
        <v>16</v>
      </c>
      <c r="F225" s="8">
        <v>41</v>
      </c>
      <c r="G225" s="7">
        <v>158</v>
      </c>
      <c r="H225" s="35">
        <f t="shared" si="3"/>
        <v>0.25949367088607594</v>
      </c>
      <c r="I225" s="9">
        <v>68</v>
      </c>
      <c r="J225" s="5">
        <v>120</v>
      </c>
      <c r="K225" s="5">
        <v>80</v>
      </c>
      <c r="L225" s="9">
        <v>24</v>
      </c>
      <c r="M225" s="1"/>
      <c r="N225" s="30">
        <v>15</v>
      </c>
      <c r="O225" s="7">
        <v>18</v>
      </c>
      <c r="P225" s="7">
        <v>0.8</v>
      </c>
      <c r="Q225" s="1" t="s">
        <v>24</v>
      </c>
      <c r="R225" s="7" t="s">
        <v>19</v>
      </c>
      <c r="S225" s="1" t="s">
        <v>25</v>
      </c>
      <c r="T225" s="54">
        <v>177874</v>
      </c>
      <c r="U225" s="54">
        <v>8</v>
      </c>
      <c r="V225" s="54">
        <v>2</v>
      </c>
      <c r="W225" s="54">
        <v>6</v>
      </c>
      <c r="X225" s="54" t="s">
        <v>47</v>
      </c>
      <c r="Y225" s="55">
        <v>20900</v>
      </c>
    </row>
    <row r="226" spans="1:25" ht="26.4" x14ac:dyDescent="0.3">
      <c r="A226" s="13">
        <v>225</v>
      </c>
      <c r="B226" s="30">
        <v>0.91666666666666663</v>
      </c>
      <c r="C226" s="7" t="s">
        <v>27</v>
      </c>
      <c r="D226" s="7" t="s">
        <v>29</v>
      </c>
      <c r="E226" s="1" t="s">
        <v>41</v>
      </c>
      <c r="F226" s="8">
        <v>6</v>
      </c>
      <c r="G226" s="7">
        <v>76</v>
      </c>
      <c r="H226" s="35">
        <f t="shared" si="3"/>
        <v>7.8947368421052627E-2</v>
      </c>
      <c r="I226" s="9">
        <v>90</v>
      </c>
      <c r="J226" s="5"/>
      <c r="K226" s="5"/>
      <c r="L226" s="9">
        <v>24</v>
      </c>
      <c r="M226" s="1"/>
      <c r="N226" s="30">
        <v>11.7</v>
      </c>
      <c r="O226" s="7">
        <v>22</v>
      </c>
      <c r="P226" s="7">
        <v>0.3</v>
      </c>
      <c r="Q226" s="1" t="s">
        <v>24</v>
      </c>
      <c r="R226" s="7" t="s">
        <v>19</v>
      </c>
      <c r="S226" s="1" t="s">
        <v>25</v>
      </c>
      <c r="T226" s="54">
        <v>144731</v>
      </c>
      <c r="U226" s="54">
        <v>6</v>
      </c>
      <c r="V226" s="54">
        <v>3</v>
      </c>
      <c r="W226" s="54">
        <v>3</v>
      </c>
      <c r="X226" s="54" t="s">
        <v>48</v>
      </c>
      <c r="Y226" s="55">
        <v>0</v>
      </c>
    </row>
    <row r="227" spans="1:25" x14ac:dyDescent="0.3">
      <c r="A227" s="13">
        <v>226</v>
      </c>
      <c r="B227" s="7">
        <v>55</v>
      </c>
      <c r="C227" s="7" t="s">
        <v>14</v>
      </c>
      <c r="D227" s="7" t="s">
        <v>15</v>
      </c>
      <c r="E227" s="1" t="s">
        <v>42</v>
      </c>
      <c r="F227" s="8">
        <v>55</v>
      </c>
      <c r="G227" s="7">
        <v>164</v>
      </c>
      <c r="H227" s="35">
        <f t="shared" si="3"/>
        <v>0.33536585365853661</v>
      </c>
      <c r="I227" s="9">
        <v>96</v>
      </c>
      <c r="J227" s="5">
        <v>160</v>
      </c>
      <c r="K227" s="5">
        <v>90</v>
      </c>
      <c r="L227" s="9">
        <v>24</v>
      </c>
      <c r="M227" s="1"/>
      <c r="N227" s="30">
        <v>12.8</v>
      </c>
      <c r="O227" s="7">
        <v>33</v>
      </c>
      <c r="P227" s="7">
        <v>0.7</v>
      </c>
      <c r="Q227" s="1" t="s">
        <v>24</v>
      </c>
      <c r="R227" s="7" t="s">
        <v>19</v>
      </c>
      <c r="S227" s="1" t="s">
        <v>25</v>
      </c>
      <c r="T227" s="54">
        <v>178037</v>
      </c>
      <c r="U227" s="54">
        <v>12</v>
      </c>
      <c r="V227" s="54">
        <v>3</v>
      </c>
      <c r="W227" s="54">
        <v>9</v>
      </c>
      <c r="X227" s="54" t="s">
        <v>48</v>
      </c>
      <c r="Y227" s="55">
        <v>0</v>
      </c>
    </row>
    <row r="228" spans="1:25" x14ac:dyDescent="0.3">
      <c r="A228" s="13">
        <v>227</v>
      </c>
      <c r="B228" s="7">
        <v>9</v>
      </c>
      <c r="C228" s="7" t="s">
        <v>27</v>
      </c>
      <c r="D228" s="7" t="s">
        <v>29</v>
      </c>
      <c r="E228" s="1" t="s">
        <v>43</v>
      </c>
      <c r="F228" s="8">
        <v>23</v>
      </c>
      <c r="G228" s="7">
        <v>132</v>
      </c>
      <c r="H228" s="35">
        <f t="shared" si="3"/>
        <v>0.17424242424242425</v>
      </c>
      <c r="I228" s="9">
        <v>100</v>
      </c>
      <c r="J228" s="5">
        <v>90</v>
      </c>
      <c r="K228" s="5">
        <v>60</v>
      </c>
      <c r="L228" s="9">
        <v>20</v>
      </c>
      <c r="M228" s="1"/>
      <c r="N228" s="30">
        <v>12</v>
      </c>
      <c r="O228" s="7">
        <v>17</v>
      </c>
      <c r="P228" s="7">
        <v>0.3</v>
      </c>
      <c r="Q228" s="1" t="s">
        <v>24</v>
      </c>
      <c r="R228" s="7" t="s">
        <v>19</v>
      </c>
      <c r="S228" s="1" t="s">
        <v>25</v>
      </c>
      <c r="T228" s="54">
        <v>114513</v>
      </c>
      <c r="U228" s="54">
        <v>8</v>
      </c>
      <c r="V228" s="54">
        <v>1</v>
      </c>
      <c r="W228" s="54">
        <v>7</v>
      </c>
      <c r="X228" s="54" t="s">
        <v>48</v>
      </c>
      <c r="Y228" s="55">
        <v>0</v>
      </c>
    </row>
    <row r="229" spans="1:25" x14ac:dyDescent="0.3">
      <c r="A229" s="13">
        <v>228</v>
      </c>
      <c r="B229" s="7">
        <v>65</v>
      </c>
      <c r="C229" s="7" t="s">
        <v>14</v>
      </c>
      <c r="D229" s="7" t="s">
        <v>15</v>
      </c>
      <c r="E229" s="1" t="s">
        <v>22</v>
      </c>
      <c r="F229" s="8">
        <v>71.400000000000006</v>
      </c>
      <c r="G229" s="7">
        <v>164</v>
      </c>
      <c r="H229" s="35">
        <f t="shared" si="3"/>
        <v>0.43536585365853664</v>
      </c>
      <c r="I229" s="9">
        <v>85</v>
      </c>
      <c r="J229" s="5">
        <v>130</v>
      </c>
      <c r="K229" s="5">
        <v>80</v>
      </c>
      <c r="L229" s="9">
        <v>19</v>
      </c>
      <c r="M229" s="1"/>
      <c r="N229" s="30">
        <v>13.7</v>
      </c>
      <c r="O229" s="7">
        <v>38</v>
      </c>
      <c r="P229" s="7">
        <v>1.1000000000000001</v>
      </c>
      <c r="Q229" s="7" t="s">
        <v>18</v>
      </c>
      <c r="R229" s="7" t="s">
        <v>19</v>
      </c>
      <c r="S229" s="7" t="s">
        <v>20</v>
      </c>
      <c r="T229" s="54">
        <v>212287</v>
      </c>
      <c r="U229" s="54">
        <v>11</v>
      </c>
      <c r="V229" s="54">
        <v>5</v>
      </c>
      <c r="W229" s="54">
        <v>6</v>
      </c>
      <c r="X229" s="54" t="s">
        <v>48</v>
      </c>
      <c r="Y229" s="55">
        <v>0</v>
      </c>
    </row>
    <row r="230" spans="1:25" x14ac:dyDescent="0.3">
      <c r="A230" s="13">
        <v>229</v>
      </c>
      <c r="B230" s="7">
        <v>4</v>
      </c>
      <c r="C230" s="7" t="s">
        <v>27</v>
      </c>
      <c r="D230" s="7" t="s">
        <v>29</v>
      </c>
      <c r="E230" s="1" t="s">
        <v>44</v>
      </c>
      <c r="F230" s="8">
        <v>10</v>
      </c>
      <c r="G230" s="7">
        <v>81</v>
      </c>
      <c r="H230" s="35">
        <f t="shared" si="3"/>
        <v>0.12345679012345678</v>
      </c>
      <c r="I230" s="9">
        <v>120</v>
      </c>
      <c r="J230" s="5">
        <v>80</v>
      </c>
      <c r="K230" s="5">
        <v>40</v>
      </c>
      <c r="L230" s="9">
        <v>24</v>
      </c>
      <c r="M230" s="1"/>
      <c r="N230" s="30">
        <v>12.1</v>
      </c>
      <c r="O230" s="7">
        <v>20</v>
      </c>
      <c r="P230" s="7">
        <v>0.3</v>
      </c>
      <c r="Q230" s="1" t="s">
        <v>24</v>
      </c>
      <c r="R230" s="7" t="s">
        <v>19</v>
      </c>
      <c r="S230" s="1" t="s">
        <v>25</v>
      </c>
      <c r="T230" s="54">
        <v>145697</v>
      </c>
      <c r="U230" s="54">
        <v>7</v>
      </c>
      <c r="V230" s="54">
        <v>2</v>
      </c>
      <c r="W230" s="54">
        <v>5</v>
      </c>
      <c r="X230" s="54" t="s">
        <v>48</v>
      </c>
      <c r="Y230" s="55">
        <v>0</v>
      </c>
    </row>
    <row r="231" spans="1:25" x14ac:dyDescent="0.3">
      <c r="A231" s="13">
        <v>230</v>
      </c>
      <c r="B231" s="30">
        <v>0.91666666666666663</v>
      </c>
      <c r="C231" s="7" t="s">
        <v>14</v>
      </c>
      <c r="D231" s="7" t="s">
        <v>29</v>
      </c>
      <c r="E231" s="1" t="s">
        <v>44</v>
      </c>
      <c r="F231" s="8">
        <v>6.4</v>
      </c>
      <c r="G231" s="7">
        <v>76</v>
      </c>
      <c r="H231" s="35">
        <f t="shared" si="3"/>
        <v>8.4210526315789472E-2</v>
      </c>
      <c r="I231" s="9">
        <v>130</v>
      </c>
      <c r="J231" s="5"/>
      <c r="K231" s="5"/>
      <c r="L231" s="9">
        <v>24</v>
      </c>
      <c r="M231" s="1"/>
      <c r="N231" s="30">
        <v>11.1</v>
      </c>
      <c r="O231" s="7">
        <v>32</v>
      </c>
      <c r="P231" s="7">
        <v>0.5</v>
      </c>
      <c r="Q231" s="1" t="s">
        <v>24</v>
      </c>
      <c r="R231" s="7" t="s">
        <v>19</v>
      </c>
      <c r="S231" s="1" t="s">
        <v>25</v>
      </c>
      <c r="T231" s="54">
        <v>146700</v>
      </c>
      <c r="U231" s="54">
        <v>7</v>
      </c>
      <c r="V231" s="54">
        <v>2</v>
      </c>
      <c r="W231" s="54">
        <v>5</v>
      </c>
      <c r="X231" s="54" t="s">
        <v>48</v>
      </c>
      <c r="Y231" s="55">
        <v>0</v>
      </c>
    </row>
    <row r="232" spans="1:25" x14ac:dyDescent="0.3">
      <c r="A232" s="13">
        <v>231</v>
      </c>
      <c r="B232" s="7">
        <v>7</v>
      </c>
      <c r="C232" s="7" t="s">
        <v>27</v>
      </c>
      <c r="D232" s="7" t="s">
        <v>29</v>
      </c>
      <c r="E232" s="1" t="s">
        <v>43</v>
      </c>
      <c r="F232" s="8">
        <v>15.3</v>
      </c>
      <c r="G232" s="7">
        <v>117</v>
      </c>
      <c r="H232" s="35">
        <f t="shared" si="3"/>
        <v>0.13076923076923078</v>
      </c>
      <c r="I232" s="9">
        <v>114</v>
      </c>
      <c r="J232" s="5">
        <v>90</v>
      </c>
      <c r="K232" s="5">
        <v>60</v>
      </c>
      <c r="L232" s="9">
        <v>24</v>
      </c>
      <c r="M232" s="1"/>
      <c r="N232" s="30">
        <v>11.5</v>
      </c>
      <c r="O232" s="7">
        <v>22</v>
      </c>
      <c r="P232" s="7">
        <v>0.3</v>
      </c>
      <c r="Q232" s="1" t="s">
        <v>24</v>
      </c>
      <c r="R232" s="7" t="s">
        <v>19</v>
      </c>
      <c r="S232" s="1" t="s">
        <v>25</v>
      </c>
      <c r="T232" s="54">
        <v>133436</v>
      </c>
      <c r="U232" s="54">
        <v>13</v>
      </c>
      <c r="V232" s="54">
        <v>1</v>
      </c>
      <c r="W232" s="54">
        <v>12</v>
      </c>
      <c r="X232" s="54" t="s">
        <v>48</v>
      </c>
      <c r="Y232" s="55">
        <v>0</v>
      </c>
    </row>
    <row r="233" spans="1:25" x14ac:dyDescent="0.3">
      <c r="A233" s="13">
        <v>232</v>
      </c>
      <c r="B233" s="7">
        <v>65</v>
      </c>
      <c r="C233" s="7" t="s">
        <v>27</v>
      </c>
      <c r="D233" s="7" t="s">
        <v>15</v>
      </c>
      <c r="E233" s="1" t="s">
        <v>16</v>
      </c>
      <c r="F233" s="8">
        <v>35.5</v>
      </c>
      <c r="G233" s="7">
        <v>138</v>
      </c>
      <c r="H233" s="35">
        <f t="shared" si="3"/>
        <v>0.25724637681159418</v>
      </c>
      <c r="I233" s="9">
        <v>88</v>
      </c>
      <c r="J233" s="5">
        <v>100</v>
      </c>
      <c r="K233" s="5">
        <v>70</v>
      </c>
      <c r="L233" s="9">
        <v>24</v>
      </c>
      <c r="M233" s="1" t="s">
        <v>26</v>
      </c>
      <c r="N233" s="30">
        <v>10.1</v>
      </c>
      <c r="O233" s="7">
        <v>18.7</v>
      </c>
      <c r="P233" s="7"/>
      <c r="Q233" s="1" t="s">
        <v>24</v>
      </c>
      <c r="R233" s="7" t="s">
        <v>19</v>
      </c>
      <c r="S233" s="1" t="s">
        <v>25</v>
      </c>
      <c r="T233" s="54">
        <v>147021</v>
      </c>
      <c r="U233" s="54">
        <v>16</v>
      </c>
      <c r="V233" s="54">
        <v>0</v>
      </c>
      <c r="W233" s="54">
        <v>16</v>
      </c>
      <c r="X233" s="54" t="s">
        <v>48</v>
      </c>
      <c r="Y233" s="55">
        <v>0</v>
      </c>
    </row>
    <row r="234" spans="1:25" x14ac:dyDescent="0.3">
      <c r="A234" s="13">
        <v>233</v>
      </c>
      <c r="B234" s="7">
        <v>59</v>
      </c>
      <c r="C234" s="7" t="s">
        <v>14</v>
      </c>
      <c r="D234" s="7" t="s">
        <v>15</v>
      </c>
      <c r="E234" s="1" t="s">
        <v>22</v>
      </c>
      <c r="F234" s="8">
        <v>78.2</v>
      </c>
      <c r="G234" s="7">
        <v>160</v>
      </c>
      <c r="H234" s="35">
        <f t="shared" si="3"/>
        <v>0.48875000000000002</v>
      </c>
      <c r="I234" s="9">
        <v>78</v>
      </c>
      <c r="J234" s="5">
        <v>140</v>
      </c>
      <c r="K234" s="5">
        <v>90</v>
      </c>
      <c r="L234" s="9">
        <v>24</v>
      </c>
      <c r="M234" s="1" t="s">
        <v>32</v>
      </c>
      <c r="N234" s="30">
        <v>14.7</v>
      </c>
      <c r="O234" s="7">
        <v>16</v>
      </c>
      <c r="P234" s="7">
        <v>0.9</v>
      </c>
      <c r="Q234" s="1" t="s">
        <v>24</v>
      </c>
      <c r="R234" s="7" t="s">
        <v>19</v>
      </c>
      <c r="S234" s="1" t="s">
        <v>25</v>
      </c>
      <c r="T234" s="54">
        <v>149462</v>
      </c>
      <c r="U234" s="54">
        <v>9</v>
      </c>
      <c r="V234" s="54">
        <v>3</v>
      </c>
      <c r="W234" s="54">
        <v>6</v>
      </c>
      <c r="X234" s="54" t="s">
        <v>48</v>
      </c>
      <c r="Y234" s="55">
        <v>0</v>
      </c>
    </row>
    <row r="235" spans="1:25" x14ac:dyDescent="0.3">
      <c r="A235" s="13">
        <v>234</v>
      </c>
      <c r="B235" s="7">
        <v>50</v>
      </c>
      <c r="C235" s="7" t="s">
        <v>14</v>
      </c>
      <c r="D235" s="7" t="s">
        <v>29</v>
      </c>
      <c r="E235" s="1" t="s">
        <v>21</v>
      </c>
      <c r="F235" s="8">
        <v>64.099999999999994</v>
      </c>
      <c r="G235" s="7">
        <v>158</v>
      </c>
      <c r="H235" s="35">
        <f t="shared" si="3"/>
        <v>0.40569620253164551</v>
      </c>
      <c r="I235" s="9">
        <v>82</v>
      </c>
      <c r="J235" s="5">
        <v>110</v>
      </c>
      <c r="K235" s="5">
        <v>60</v>
      </c>
      <c r="L235" s="9">
        <v>12</v>
      </c>
      <c r="M235" s="1" t="s">
        <v>31</v>
      </c>
      <c r="N235" s="30">
        <v>10.3</v>
      </c>
      <c r="O235" s="7">
        <v>28</v>
      </c>
      <c r="P235" s="7">
        <v>1.2</v>
      </c>
      <c r="Q235" s="1" t="s">
        <v>24</v>
      </c>
      <c r="R235" s="7" t="s">
        <v>19</v>
      </c>
      <c r="S235" s="1" t="s">
        <v>25</v>
      </c>
      <c r="T235" s="54">
        <v>186450</v>
      </c>
      <c r="U235" s="54">
        <v>11</v>
      </c>
      <c r="V235" s="54">
        <v>5</v>
      </c>
      <c r="W235" s="54">
        <v>6</v>
      </c>
      <c r="X235" s="54" t="s">
        <v>48</v>
      </c>
      <c r="Y235" s="55">
        <v>0</v>
      </c>
    </row>
    <row r="236" spans="1:25" x14ac:dyDescent="0.3">
      <c r="A236" s="13">
        <v>235</v>
      </c>
      <c r="B236" s="7">
        <v>34</v>
      </c>
      <c r="C236" s="7" t="s">
        <v>27</v>
      </c>
      <c r="D236" s="7" t="s">
        <v>15</v>
      </c>
      <c r="E236" s="1" t="s">
        <v>28</v>
      </c>
      <c r="F236" s="8">
        <v>41</v>
      </c>
      <c r="G236" s="7">
        <v>155</v>
      </c>
      <c r="H236" s="35">
        <f t="shared" si="3"/>
        <v>0.26451612903225807</v>
      </c>
      <c r="I236" s="9">
        <v>88</v>
      </c>
      <c r="J236" s="5">
        <v>110</v>
      </c>
      <c r="K236" s="5">
        <v>70</v>
      </c>
      <c r="L236" s="9">
        <v>22</v>
      </c>
      <c r="M236" s="1"/>
      <c r="N236" s="30">
        <v>12.7</v>
      </c>
      <c r="O236" s="7">
        <v>22</v>
      </c>
      <c r="P236" s="7"/>
      <c r="Q236" s="1" t="s">
        <v>24</v>
      </c>
      <c r="R236" s="7" t="s">
        <v>19</v>
      </c>
      <c r="S236" s="1" t="s">
        <v>25</v>
      </c>
      <c r="T236" s="54">
        <v>180713</v>
      </c>
      <c r="U236" s="54">
        <v>10</v>
      </c>
      <c r="V236" s="54">
        <v>2</v>
      </c>
      <c r="W236" s="54">
        <v>8</v>
      </c>
      <c r="X236" s="54" t="s">
        <v>47</v>
      </c>
      <c r="Y236" s="55">
        <v>20900</v>
      </c>
    </row>
    <row r="237" spans="1:25" x14ac:dyDescent="0.3">
      <c r="A237" s="13">
        <v>236</v>
      </c>
      <c r="B237" s="7">
        <v>19</v>
      </c>
      <c r="C237" s="7" t="s">
        <v>14</v>
      </c>
      <c r="D237" s="7" t="s">
        <v>29</v>
      </c>
      <c r="E237" s="1" t="s">
        <v>43</v>
      </c>
      <c r="F237" s="8">
        <v>41</v>
      </c>
      <c r="G237" s="7">
        <v>156</v>
      </c>
      <c r="H237" s="35">
        <f t="shared" si="3"/>
        <v>0.26282051282051283</v>
      </c>
      <c r="I237" s="9">
        <v>72</v>
      </c>
      <c r="J237" s="5">
        <v>110</v>
      </c>
      <c r="K237" s="5">
        <v>70</v>
      </c>
      <c r="L237" s="9">
        <v>18</v>
      </c>
      <c r="M237" s="1"/>
      <c r="N237" s="30">
        <v>13.1</v>
      </c>
      <c r="O237" s="7">
        <v>25</v>
      </c>
      <c r="P237" s="7">
        <v>0.7</v>
      </c>
      <c r="Q237" s="1" t="s">
        <v>24</v>
      </c>
      <c r="R237" s="7" t="s">
        <v>19</v>
      </c>
      <c r="S237" s="1" t="s">
        <v>25</v>
      </c>
      <c r="T237" s="54">
        <v>135612</v>
      </c>
      <c r="U237" s="54">
        <v>11</v>
      </c>
      <c r="V237" s="54">
        <v>2</v>
      </c>
      <c r="W237" s="54">
        <v>9</v>
      </c>
      <c r="X237" s="54" t="s">
        <v>48</v>
      </c>
      <c r="Y237" s="55">
        <v>0</v>
      </c>
    </row>
    <row r="238" spans="1:25" x14ac:dyDescent="0.3">
      <c r="A238" s="13">
        <v>237</v>
      </c>
      <c r="B238" s="7">
        <v>15</v>
      </c>
      <c r="C238" s="7" t="s">
        <v>14</v>
      </c>
      <c r="D238" s="7" t="s">
        <v>29</v>
      </c>
      <c r="E238" s="1" t="s">
        <v>28</v>
      </c>
      <c r="F238" s="8">
        <v>52</v>
      </c>
      <c r="G238" s="7">
        <v>170</v>
      </c>
      <c r="H238" s="35">
        <f t="shared" si="3"/>
        <v>0.30588235294117649</v>
      </c>
      <c r="I238" s="9">
        <v>82</v>
      </c>
      <c r="J238" s="5">
        <v>130</v>
      </c>
      <c r="K238" s="5">
        <v>60</v>
      </c>
      <c r="L238" s="9">
        <v>24</v>
      </c>
      <c r="M238" s="1"/>
      <c r="N238" s="30">
        <v>15.3</v>
      </c>
      <c r="O238" s="7">
        <v>32</v>
      </c>
      <c r="P238" s="7">
        <v>0.9</v>
      </c>
      <c r="Q238" s="1" t="s">
        <v>24</v>
      </c>
      <c r="R238" s="7" t="s">
        <v>19</v>
      </c>
      <c r="S238" s="1" t="s">
        <v>25</v>
      </c>
      <c r="T238" s="54">
        <v>209886</v>
      </c>
      <c r="U238" s="54">
        <v>9</v>
      </c>
      <c r="V238" s="54">
        <v>2</v>
      </c>
      <c r="W238" s="54">
        <v>7</v>
      </c>
      <c r="X238" s="54" t="s">
        <v>47</v>
      </c>
      <c r="Y238" s="55">
        <v>41800</v>
      </c>
    </row>
    <row r="239" spans="1:25" x14ac:dyDescent="0.3">
      <c r="A239" s="13">
        <v>238</v>
      </c>
      <c r="B239" s="7">
        <v>10</v>
      </c>
      <c r="C239" s="7" t="s">
        <v>14</v>
      </c>
      <c r="D239" s="7" t="s">
        <v>29</v>
      </c>
      <c r="E239" s="1" t="s">
        <v>16</v>
      </c>
      <c r="F239" s="8">
        <v>6.6</v>
      </c>
      <c r="G239" s="7">
        <v>75</v>
      </c>
      <c r="H239" s="35">
        <f t="shared" si="3"/>
        <v>8.7999999999999995E-2</v>
      </c>
      <c r="I239" s="9">
        <v>135</v>
      </c>
      <c r="J239" s="5"/>
      <c r="K239" s="5"/>
      <c r="L239" s="9">
        <v>24</v>
      </c>
      <c r="M239" s="1"/>
      <c r="N239" s="30">
        <v>8.5</v>
      </c>
      <c r="O239" s="7">
        <v>14</v>
      </c>
      <c r="P239" s="7">
        <v>0.3</v>
      </c>
      <c r="Q239" s="1" t="s">
        <v>24</v>
      </c>
      <c r="R239" s="7" t="s">
        <v>19</v>
      </c>
      <c r="S239" s="1" t="s">
        <v>25</v>
      </c>
      <c r="T239" s="54">
        <v>123320</v>
      </c>
      <c r="U239" s="54">
        <v>9</v>
      </c>
      <c r="V239" s="54">
        <v>1</v>
      </c>
      <c r="W239" s="54">
        <v>8</v>
      </c>
      <c r="X239" s="54" t="s">
        <v>48</v>
      </c>
      <c r="Y239" s="55">
        <v>0</v>
      </c>
    </row>
    <row r="240" spans="1:25" x14ac:dyDescent="0.3">
      <c r="A240" s="13">
        <v>239</v>
      </c>
      <c r="B240" s="7">
        <v>53</v>
      </c>
      <c r="C240" s="7" t="s">
        <v>27</v>
      </c>
      <c r="D240" s="7" t="s">
        <v>15</v>
      </c>
      <c r="E240" s="1" t="s">
        <v>43</v>
      </c>
      <c r="F240" s="8">
        <v>50</v>
      </c>
      <c r="G240" s="7">
        <v>164</v>
      </c>
      <c r="H240" s="35">
        <f t="shared" si="3"/>
        <v>0.3048780487804878</v>
      </c>
      <c r="I240" s="9">
        <v>64</v>
      </c>
      <c r="J240" s="5">
        <v>110</v>
      </c>
      <c r="K240" s="5">
        <v>70</v>
      </c>
      <c r="L240" s="9">
        <v>24</v>
      </c>
      <c r="M240" s="1"/>
      <c r="N240" s="30">
        <v>12.1</v>
      </c>
      <c r="O240" s="7">
        <v>32</v>
      </c>
      <c r="P240" s="7">
        <v>0.8</v>
      </c>
      <c r="Q240" s="1" t="s">
        <v>24</v>
      </c>
      <c r="R240" s="7" t="s">
        <v>19</v>
      </c>
      <c r="S240" s="1" t="s">
        <v>25</v>
      </c>
      <c r="T240" s="54">
        <v>132997</v>
      </c>
      <c r="U240" s="54">
        <v>7</v>
      </c>
      <c r="V240" s="54">
        <v>2</v>
      </c>
      <c r="W240" s="54">
        <v>5</v>
      </c>
      <c r="X240" s="54" t="s">
        <v>48</v>
      </c>
      <c r="Y240" s="55">
        <v>0</v>
      </c>
    </row>
    <row r="241" spans="1:25" ht="26.4" x14ac:dyDescent="0.3">
      <c r="A241" s="13">
        <v>240</v>
      </c>
      <c r="B241" s="7">
        <v>11</v>
      </c>
      <c r="C241" s="7" t="s">
        <v>27</v>
      </c>
      <c r="D241" s="7" t="s">
        <v>29</v>
      </c>
      <c r="E241" s="1" t="s">
        <v>34</v>
      </c>
      <c r="F241" s="8">
        <v>29</v>
      </c>
      <c r="G241" s="7">
        <v>139</v>
      </c>
      <c r="H241" s="35">
        <f t="shared" si="3"/>
        <v>0.20863309352517986</v>
      </c>
      <c r="I241" s="9">
        <v>98</v>
      </c>
      <c r="J241" s="5">
        <v>110</v>
      </c>
      <c r="K241" s="5">
        <v>60</v>
      </c>
      <c r="L241" s="9">
        <v>24</v>
      </c>
      <c r="M241" s="1"/>
      <c r="N241" s="30">
        <v>11.8</v>
      </c>
      <c r="O241" s="7">
        <v>26</v>
      </c>
      <c r="P241" s="7">
        <v>0.4</v>
      </c>
      <c r="Q241" s="1" t="s">
        <v>24</v>
      </c>
      <c r="R241" s="7" t="s">
        <v>19</v>
      </c>
      <c r="S241" s="1" t="s">
        <v>25</v>
      </c>
      <c r="T241" s="54">
        <v>124860</v>
      </c>
      <c r="U241" s="54">
        <v>7</v>
      </c>
      <c r="V241" s="54">
        <v>2</v>
      </c>
      <c r="W241" s="54">
        <v>5</v>
      </c>
      <c r="X241" s="54" t="s">
        <v>48</v>
      </c>
      <c r="Y241" s="55">
        <v>0</v>
      </c>
    </row>
    <row r="242" spans="1:25" x14ac:dyDescent="0.3">
      <c r="A242" s="13">
        <v>241</v>
      </c>
      <c r="B242" s="7">
        <v>5</v>
      </c>
      <c r="C242" s="7" t="s">
        <v>14</v>
      </c>
      <c r="D242" s="7" t="s">
        <v>29</v>
      </c>
      <c r="E242" s="1" t="s">
        <v>16</v>
      </c>
      <c r="F242" s="8">
        <v>16.899999999999999</v>
      </c>
      <c r="G242" s="7">
        <v>118</v>
      </c>
      <c r="H242" s="35">
        <f t="shared" si="3"/>
        <v>0.14322033898305084</v>
      </c>
      <c r="I242" s="9">
        <v>118</v>
      </c>
      <c r="J242" s="5">
        <v>80</v>
      </c>
      <c r="K242" s="5">
        <v>60</v>
      </c>
      <c r="L242" s="9">
        <v>24</v>
      </c>
      <c r="M242" s="1" t="s">
        <v>40</v>
      </c>
      <c r="N242" s="30">
        <v>11.5</v>
      </c>
      <c r="O242" s="7">
        <v>28</v>
      </c>
      <c r="P242" s="7">
        <v>0.3</v>
      </c>
      <c r="Q242" s="1" t="s">
        <v>24</v>
      </c>
      <c r="R242" s="7" t="s">
        <v>19</v>
      </c>
      <c r="S242" s="1" t="s">
        <v>25</v>
      </c>
      <c r="T242" s="54">
        <v>118607</v>
      </c>
      <c r="U242" s="54">
        <v>7</v>
      </c>
      <c r="V242" s="54">
        <v>1</v>
      </c>
      <c r="W242" s="54">
        <v>6</v>
      </c>
      <c r="X242" s="54" t="s">
        <v>48</v>
      </c>
      <c r="Y242" s="55">
        <v>0</v>
      </c>
    </row>
    <row r="243" spans="1:25" x14ac:dyDescent="0.3">
      <c r="A243" s="13">
        <v>242</v>
      </c>
      <c r="B243" s="7">
        <v>52</v>
      </c>
      <c r="C243" s="7" t="s">
        <v>14</v>
      </c>
      <c r="D243" s="7" t="s">
        <v>15</v>
      </c>
      <c r="E243" s="1"/>
      <c r="F243" s="8">
        <v>54</v>
      </c>
      <c r="G243" s="7">
        <v>162</v>
      </c>
      <c r="H243" s="35">
        <f t="shared" si="3"/>
        <v>0.33333333333333331</v>
      </c>
      <c r="I243" s="9">
        <v>80</v>
      </c>
      <c r="J243" s="5">
        <v>160</v>
      </c>
      <c r="K243" s="5">
        <v>90</v>
      </c>
      <c r="L243" s="9">
        <v>20</v>
      </c>
      <c r="M243" s="1"/>
      <c r="N243" s="30">
        <v>11.5</v>
      </c>
      <c r="O243" s="7">
        <v>26</v>
      </c>
      <c r="P243" s="7">
        <v>0.5</v>
      </c>
      <c r="Q243" s="1" t="s">
        <v>24</v>
      </c>
      <c r="R243" s="7" t="s">
        <v>19</v>
      </c>
      <c r="S243" s="1" t="s">
        <v>25</v>
      </c>
      <c r="T243" s="54">
        <v>248031</v>
      </c>
      <c r="U243" s="54">
        <v>10</v>
      </c>
      <c r="V243" s="54">
        <v>4</v>
      </c>
      <c r="W243" s="54">
        <v>6</v>
      </c>
      <c r="X243" s="54" t="s">
        <v>47</v>
      </c>
      <c r="Y243" s="55">
        <v>20900</v>
      </c>
    </row>
    <row r="244" spans="1:25" x14ac:dyDescent="0.3">
      <c r="A244" s="13">
        <v>243</v>
      </c>
      <c r="B244" s="7">
        <v>72</v>
      </c>
      <c r="C244" s="7" t="s">
        <v>14</v>
      </c>
      <c r="D244" s="7" t="s">
        <v>15</v>
      </c>
      <c r="E244" s="1"/>
      <c r="F244" s="8">
        <v>62</v>
      </c>
      <c r="G244" s="7">
        <v>165</v>
      </c>
      <c r="H244" s="35">
        <f t="shared" si="3"/>
        <v>0.37575757575757573</v>
      </c>
      <c r="I244" s="9">
        <v>112</v>
      </c>
      <c r="J244" s="5">
        <v>160</v>
      </c>
      <c r="K244" s="5">
        <v>100</v>
      </c>
      <c r="L244" s="9">
        <v>21</v>
      </c>
      <c r="M244" s="1"/>
      <c r="N244" s="30">
        <v>14.6</v>
      </c>
      <c r="O244" s="7">
        <v>15</v>
      </c>
      <c r="P244" s="7">
        <v>0.8</v>
      </c>
      <c r="Q244" s="7" t="s">
        <v>18</v>
      </c>
      <c r="R244" s="7" t="s">
        <v>19</v>
      </c>
      <c r="S244" s="7" t="s">
        <v>20</v>
      </c>
      <c r="T244" s="54">
        <v>73682</v>
      </c>
      <c r="U244" s="54">
        <v>5</v>
      </c>
      <c r="V244" s="54">
        <v>3</v>
      </c>
      <c r="W244" s="54">
        <v>2</v>
      </c>
      <c r="X244" s="54" t="s">
        <v>48</v>
      </c>
      <c r="Y244" s="55">
        <v>0</v>
      </c>
    </row>
    <row r="245" spans="1:25" x14ac:dyDescent="0.3">
      <c r="A245" s="13">
        <v>244</v>
      </c>
      <c r="B245" s="7">
        <v>51</v>
      </c>
      <c r="C245" s="7" t="s">
        <v>14</v>
      </c>
      <c r="D245" s="7" t="s">
        <v>15</v>
      </c>
      <c r="E245" s="1" t="s">
        <v>16</v>
      </c>
      <c r="F245" s="8">
        <v>69</v>
      </c>
      <c r="G245" s="7">
        <v>176</v>
      </c>
      <c r="H245" s="35">
        <f t="shared" si="3"/>
        <v>0.39204545454545453</v>
      </c>
      <c r="I245" s="9">
        <v>62</v>
      </c>
      <c r="J245" s="5">
        <v>130</v>
      </c>
      <c r="K245" s="5">
        <v>90</v>
      </c>
      <c r="L245" s="9">
        <v>24</v>
      </c>
      <c r="M245" s="1"/>
      <c r="N245" s="30">
        <v>13.2</v>
      </c>
      <c r="O245" s="7">
        <v>26</v>
      </c>
      <c r="P245" s="7">
        <v>1.1000000000000001</v>
      </c>
      <c r="Q245" s="1" t="s">
        <v>24</v>
      </c>
      <c r="R245" s="7" t="s">
        <v>19</v>
      </c>
      <c r="S245" s="1" t="s">
        <v>25</v>
      </c>
      <c r="T245" s="54">
        <v>295155</v>
      </c>
      <c r="U245" s="54">
        <v>10</v>
      </c>
      <c r="V245" s="54">
        <v>3</v>
      </c>
      <c r="W245" s="54">
        <v>7</v>
      </c>
      <c r="X245" s="54" t="s">
        <v>47</v>
      </c>
      <c r="Y245" s="55">
        <v>35000</v>
      </c>
    </row>
    <row r="246" spans="1:25" x14ac:dyDescent="0.3">
      <c r="A246" s="13">
        <v>245</v>
      </c>
      <c r="B246" s="7">
        <v>58</v>
      </c>
      <c r="C246" s="7" t="s">
        <v>14</v>
      </c>
      <c r="D246" s="7" t="s">
        <v>15</v>
      </c>
      <c r="E246" s="1" t="s">
        <v>22</v>
      </c>
      <c r="F246" s="8">
        <v>57</v>
      </c>
      <c r="G246" s="7">
        <v>159</v>
      </c>
      <c r="H246" s="35">
        <f t="shared" si="3"/>
        <v>0.35849056603773582</v>
      </c>
      <c r="I246" s="9">
        <v>58</v>
      </c>
      <c r="J246" s="5">
        <v>100</v>
      </c>
      <c r="K246" s="5">
        <v>70</v>
      </c>
      <c r="L246" s="9">
        <v>24</v>
      </c>
      <c r="M246" s="1" t="s">
        <v>40</v>
      </c>
      <c r="N246" s="30">
        <v>10.6</v>
      </c>
      <c r="O246" s="7">
        <v>15</v>
      </c>
      <c r="P246" s="7">
        <v>0.8</v>
      </c>
      <c r="Q246" s="1" t="s">
        <v>24</v>
      </c>
      <c r="R246" s="7" t="s">
        <v>19</v>
      </c>
      <c r="S246" s="1" t="s">
        <v>25</v>
      </c>
      <c r="T246" s="54">
        <v>200321</v>
      </c>
      <c r="U246" s="54">
        <v>11</v>
      </c>
      <c r="V246" s="54">
        <v>2</v>
      </c>
      <c r="W246" s="54">
        <v>9</v>
      </c>
      <c r="X246" s="54" t="s">
        <v>47</v>
      </c>
      <c r="Y246" s="55">
        <v>26000</v>
      </c>
    </row>
    <row r="247" spans="1:25" x14ac:dyDescent="0.3">
      <c r="A247" s="13">
        <v>246</v>
      </c>
      <c r="B247" s="7">
        <v>44</v>
      </c>
      <c r="C247" s="7" t="s">
        <v>14</v>
      </c>
      <c r="D247" s="7" t="s">
        <v>15</v>
      </c>
      <c r="E247" s="1" t="s">
        <v>22</v>
      </c>
      <c r="F247" s="8">
        <v>58</v>
      </c>
      <c r="G247" s="7">
        <v>159</v>
      </c>
      <c r="H247" s="35">
        <f t="shared" si="3"/>
        <v>0.36477987421383645</v>
      </c>
      <c r="I247" s="9">
        <v>68</v>
      </c>
      <c r="J247" s="5">
        <v>150</v>
      </c>
      <c r="K247" s="5">
        <v>90</v>
      </c>
      <c r="L247" s="9">
        <v>24</v>
      </c>
      <c r="M247" s="1" t="s">
        <v>26</v>
      </c>
      <c r="N247" s="30">
        <v>15.2</v>
      </c>
      <c r="O247" s="7">
        <v>23</v>
      </c>
      <c r="P247" s="7">
        <v>0.9</v>
      </c>
      <c r="Q247" s="1" t="s">
        <v>24</v>
      </c>
      <c r="R247" s="7" t="s">
        <v>19</v>
      </c>
      <c r="S247" s="1" t="s">
        <v>25</v>
      </c>
      <c r="T247" s="54">
        <v>191188</v>
      </c>
      <c r="U247" s="54">
        <v>13</v>
      </c>
      <c r="V247" s="54">
        <v>5</v>
      </c>
      <c r="W247" s="54">
        <v>8</v>
      </c>
      <c r="X247" s="54" t="s">
        <v>48</v>
      </c>
      <c r="Y247" s="55">
        <v>0</v>
      </c>
    </row>
    <row r="248" spans="1:25" x14ac:dyDescent="0.3">
      <c r="A248" s="13">
        <v>247</v>
      </c>
      <c r="B248" s="7">
        <v>60</v>
      </c>
      <c r="C248" s="7" t="s">
        <v>14</v>
      </c>
      <c r="D248" s="7" t="s">
        <v>15</v>
      </c>
      <c r="E248" s="1" t="s">
        <v>16</v>
      </c>
      <c r="F248" s="8">
        <v>65</v>
      </c>
      <c r="G248" s="7">
        <v>165</v>
      </c>
      <c r="H248" s="35">
        <f t="shared" si="3"/>
        <v>0.39393939393939392</v>
      </c>
      <c r="I248" s="9">
        <v>98</v>
      </c>
      <c r="J248" s="5">
        <v>100</v>
      </c>
      <c r="K248" s="5">
        <v>60</v>
      </c>
      <c r="L248" s="9">
        <v>17</v>
      </c>
      <c r="M248" s="1"/>
      <c r="N248" s="30">
        <v>14.5</v>
      </c>
      <c r="O248" s="7">
        <v>36</v>
      </c>
      <c r="P248" s="7">
        <v>1</v>
      </c>
      <c r="Q248" s="7" t="s">
        <v>18</v>
      </c>
      <c r="R248" s="7" t="s">
        <v>19</v>
      </c>
      <c r="S248" s="7" t="s">
        <v>20</v>
      </c>
      <c r="T248" s="54">
        <v>202807</v>
      </c>
      <c r="U248" s="54">
        <v>9</v>
      </c>
      <c r="V248" s="54">
        <v>6</v>
      </c>
      <c r="W248" s="54">
        <v>3</v>
      </c>
      <c r="X248" s="54" t="s">
        <v>48</v>
      </c>
      <c r="Y248" s="55">
        <v>0</v>
      </c>
    </row>
    <row r="249" spans="1:25" ht="15" thickBot="1" x14ac:dyDescent="0.35">
      <c r="A249" s="15">
        <v>248</v>
      </c>
      <c r="B249" s="16">
        <v>30</v>
      </c>
      <c r="C249" s="16" t="s">
        <v>14</v>
      </c>
      <c r="D249" s="16" t="s">
        <v>15</v>
      </c>
      <c r="E249" s="21" t="s">
        <v>28</v>
      </c>
      <c r="F249" s="18">
        <v>71</v>
      </c>
      <c r="G249" s="16">
        <v>180</v>
      </c>
      <c r="H249" s="35">
        <f t="shared" si="3"/>
        <v>0.39444444444444443</v>
      </c>
      <c r="I249" s="19">
        <v>87</v>
      </c>
      <c r="J249" s="20">
        <v>130</v>
      </c>
      <c r="K249" s="20">
        <v>40</v>
      </c>
      <c r="L249" s="19">
        <v>20</v>
      </c>
      <c r="M249" s="21"/>
      <c r="N249" s="50">
        <v>12.6</v>
      </c>
      <c r="O249" s="16">
        <v>15</v>
      </c>
      <c r="P249" s="16">
        <v>0.8</v>
      </c>
      <c r="Q249" s="21" t="s">
        <v>24</v>
      </c>
      <c r="R249" s="16" t="s">
        <v>19</v>
      </c>
      <c r="S249" s="21" t="s">
        <v>25</v>
      </c>
      <c r="T249" s="56">
        <v>248112</v>
      </c>
      <c r="U249" s="56">
        <v>10</v>
      </c>
      <c r="V249" s="56">
        <v>4</v>
      </c>
      <c r="W249" s="56">
        <v>6</v>
      </c>
      <c r="X249" s="56" t="s">
        <v>47</v>
      </c>
      <c r="Y249" s="57">
        <v>41800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58"/>
  <sheetViews>
    <sheetView topLeftCell="A41" workbookViewId="0">
      <selection activeCell="A43" sqref="A43:A46"/>
    </sheetView>
  </sheetViews>
  <sheetFormatPr defaultRowHeight="14.4" x14ac:dyDescent="0.3"/>
  <cols>
    <col min="1" max="1" width="36.5546875" bestFit="1" customWidth="1"/>
    <col min="2" max="2" width="68.21875" bestFit="1" customWidth="1"/>
    <col min="5" max="5" width="25.77734375" customWidth="1"/>
    <col min="6" max="6" width="21" customWidth="1"/>
  </cols>
  <sheetData>
    <row r="2" spans="1:2" x14ac:dyDescent="0.3">
      <c r="B2" t="s">
        <v>53</v>
      </c>
    </row>
    <row r="3" spans="1:2" x14ac:dyDescent="0.3">
      <c r="B3" t="s">
        <v>50</v>
      </c>
    </row>
    <row r="4" spans="1:2" x14ac:dyDescent="0.3">
      <c r="B4" t="s">
        <v>54</v>
      </c>
    </row>
    <row r="5" spans="1:2" x14ac:dyDescent="0.3">
      <c r="B5" t="s">
        <v>55</v>
      </c>
    </row>
    <row r="6" spans="1:2" ht="15" thickBot="1" x14ac:dyDescent="0.35"/>
    <row r="7" spans="1:2" ht="18.600000000000001" thickBot="1" x14ac:dyDescent="0.35">
      <c r="A7" s="27" t="s">
        <v>51</v>
      </c>
      <c r="B7" s="28" t="s">
        <v>52</v>
      </c>
    </row>
    <row r="8" spans="1:2" x14ac:dyDescent="0.3">
      <c r="A8" s="33" t="s">
        <v>1</v>
      </c>
      <c r="B8" s="26" t="s">
        <v>56</v>
      </c>
    </row>
    <row r="9" spans="1:2" x14ac:dyDescent="0.3">
      <c r="A9" s="51" t="s">
        <v>2</v>
      </c>
      <c r="B9" s="24" t="s">
        <v>82</v>
      </c>
    </row>
    <row r="10" spans="1:2" x14ac:dyDescent="0.3">
      <c r="A10" s="51"/>
      <c r="B10" s="29" t="s">
        <v>49</v>
      </c>
    </row>
    <row r="11" spans="1:2" x14ac:dyDescent="0.3">
      <c r="A11" s="51"/>
      <c r="B11" s="29" t="s">
        <v>64</v>
      </c>
    </row>
    <row r="12" spans="1:2" x14ac:dyDescent="0.3">
      <c r="A12" s="51" t="s">
        <v>3</v>
      </c>
      <c r="B12" s="24" t="s">
        <v>81</v>
      </c>
    </row>
    <row r="13" spans="1:2" x14ac:dyDescent="0.3">
      <c r="A13" s="51"/>
      <c r="B13" s="29" t="s">
        <v>62</v>
      </c>
    </row>
    <row r="14" spans="1:2" x14ac:dyDescent="0.3">
      <c r="A14" s="51"/>
      <c r="B14" s="29" t="s">
        <v>63</v>
      </c>
    </row>
    <row r="15" spans="1:2" x14ac:dyDescent="0.3">
      <c r="A15" s="51" t="s">
        <v>103</v>
      </c>
      <c r="B15" s="24" t="s">
        <v>87</v>
      </c>
    </row>
    <row r="16" spans="1:2" x14ac:dyDescent="0.3">
      <c r="A16" s="51"/>
      <c r="B16" s="29" t="s">
        <v>42</v>
      </c>
    </row>
    <row r="17" spans="1:2" x14ac:dyDescent="0.3">
      <c r="A17" s="51"/>
      <c r="B17" s="29" t="s">
        <v>21</v>
      </c>
    </row>
    <row r="18" spans="1:2" x14ac:dyDescent="0.3">
      <c r="A18" s="51"/>
      <c r="B18" s="29" t="s">
        <v>33</v>
      </c>
    </row>
    <row r="19" spans="1:2" x14ac:dyDescent="0.3">
      <c r="A19" s="51"/>
      <c r="B19" s="29" t="s">
        <v>22</v>
      </c>
    </row>
    <row r="20" spans="1:2" x14ac:dyDescent="0.3">
      <c r="A20" s="51"/>
      <c r="B20" s="29" t="s">
        <v>45</v>
      </c>
    </row>
    <row r="21" spans="1:2" x14ac:dyDescent="0.3">
      <c r="A21" s="51"/>
      <c r="B21" s="29" t="s">
        <v>43</v>
      </c>
    </row>
    <row r="22" spans="1:2" x14ac:dyDescent="0.3">
      <c r="A22" s="51"/>
      <c r="B22" s="29" t="s">
        <v>16</v>
      </c>
    </row>
    <row r="23" spans="1:2" x14ac:dyDescent="0.3">
      <c r="A23" s="51"/>
      <c r="B23" s="29" t="s">
        <v>34</v>
      </c>
    </row>
    <row r="24" spans="1:2" x14ac:dyDescent="0.3">
      <c r="A24" s="51"/>
      <c r="B24" s="29" t="s">
        <v>46</v>
      </c>
    </row>
    <row r="25" spans="1:2" x14ac:dyDescent="0.3">
      <c r="A25" s="51"/>
      <c r="B25" s="29" t="s">
        <v>38</v>
      </c>
    </row>
    <row r="26" spans="1:2" x14ac:dyDescent="0.3">
      <c r="A26" s="51"/>
      <c r="B26" s="29" t="s">
        <v>41</v>
      </c>
    </row>
    <row r="27" spans="1:2" x14ac:dyDescent="0.3">
      <c r="A27" s="51"/>
      <c r="B27" s="29" t="s">
        <v>44</v>
      </c>
    </row>
    <row r="28" spans="1:2" x14ac:dyDescent="0.3">
      <c r="A28" s="51"/>
      <c r="B28" s="29" t="s">
        <v>28</v>
      </c>
    </row>
    <row r="29" spans="1:2" x14ac:dyDescent="0.3">
      <c r="A29" s="31" t="s">
        <v>4</v>
      </c>
      <c r="B29" s="24" t="s">
        <v>57</v>
      </c>
    </row>
    <row r="30" spans="1:2" x14ac:dyDescent="0.3">
      <c r="A30" s="31" t="s">
        <v>5</v>
      </c>
      <c r="B30" s="24" t="s">
        <v>58</v>
      </c>
    </row>
    <row r="31" spans="1:2" x14ac:dyDescent="0.3">
      <c r="A31" s="31" t="s">
        <v>6</v>
      </c>
      <c r="B31" s="24" t="s">
        <v>59</v>
      </c>
    </row>
    <row r="32" spans="1:2" x14ac:dyDescent="0.3">
      <c r="A32" s="31" t="s">
        <v>104</v>
      </c>
      <c r="B32" s="24" t="s">
        <v>101</v>
      </c>
    </row>
    <row r="33" spans="1:2" x14ac:dyDescent="0.3">
      <c r="A33" s="31" t="s">
        <v>92</v>
      </c>
      <c r="B33" s="24" t="s">
        <v>102</v>
      </c>
    </row>
    <row r="34" spans="1:2" x14ac:dyDescent="0.3">
      <c r="A34" s="31" t="s">
        <v>7</v>
      </c>
      <c r="B34" s="24" t="s">
        <v>60</v>
      </c>
    </row>
    <row r="35" spans="1:2" x14ac:dyDescent="0.3">
      <c r="A35" s="51" t="s">
        <v>93</v>
      </c>
      <c r="B35" s="24" t="s">
        <v>83</v>
      </c>
    </row>
    <row r="36" spans="1:2" x14ac:dyDescent="0.3">
      <c r="A36" s="51"/>
      <c r="B36" s="29" t="s">
        <v>65</v>
      </c>
    </row>
    <row r="37" spans="1:2" x14ac:dyDescent="0.3">
      <c r="A37" s="51"/>
      <c r="B37" s="29" t="s">
        <v>66</v>
      </c>
    </row>
    <row r="38" spans="1:2" x14ac:dyDescent="0.3">
      <c r="A38" s="51"/>
      <c r="B38" s="29" t="s">
        <v>88</v>
      </c>
    </row>
    <row r="39" spans="1:2" x14ac:dyDescent="0.3">
      <c r="A39" s="51"/>
      <c r="B39" s="29" t="s">
        <v>113</v>
      </c>
    </row>
    <row r="40" spans="1:2" x14ac:dyDescent="0.3">
      <c r="A40" s="51"/>
      <c r="B40" s="29" t="s">
        <v>89</v>
      </c>
    </row>
    <row r="41" spans="1:2" x14ac:dyDescent="0.3">
      <c r="A41" s="51"/>
      <c r="B41" s="29" t="s">
        <v>67</v>
      </c>
    </row>
    <row r="42" spans="1:2" x14ac:dyDescent="0.3">
      <c r="A42" s="31" t="s">
        <v>8</v>
      </c>
      <c r="B42" s="24" t="s">
        <v>61</v>
      </c>
    </row>
    <row r="43" spans="1:2" x14ac:dyDescent="0.3">
      <c r="A43" s="51" t="s">
        <v>11</v>
      </c>
      <c r="B43" s="24" t="s">
        <v>84</v>
      </c>
    </row>
    <row r="44" spans="1:2" x14ac:dyDescent="0.3">
      <c r="A44" s="51"/>
      <c r="B44" s="29" t="s">
        <v>68</v>
      </c>
    </row>
    <row r="45" spans="1:2" x14ac:dyDescent="0.3">
      <c r="A45" s="51"/>
      <c r="B45" s="29" t="s">
        <v>69</v>
      </c>
    </row>
    <row r="46" spans="1:2" x14ac:dyDescent="0.3">
      <c r="A46" s="51"/>
      <c r="B46" s="29" t="s">
        <v>70</v>
      </c>
    </row>
    <row r="47" spans="1:2" x14ac:dyDescent="0.3">
      <c r="A47" s="51" t="s">
        <v>12</v>
      </c>
      <c r="B47" s="24" t="s">
        <v>85</v>
      </c>
    </row>
    <row r="48" spans="1:2" x14ac:dyDescent="0.3">
      <c r="A48" s="51"/>
      <c r="B48" s="29" t="s">
        <v>71</v>
      </c>
    </row>
    <row r="49" spans="1:2" x14ac:dyDescent="0.3">
      <c r="A49" s="51"/>
      <c r="B49" s="29" t="s">
        <v>72</v>
      </c>
    </row>
    <row r="50" spans="1:2" x14ac:dyDescent="0.3">
      <c r="A50" s="51" t="s">
        <v>105</v>
      </c>
      <c r="B50" s="24" t="s">
        <v>86</v>
      </c>
    </row>
    <row r="51" spans="1:2" x14ac:dyDescent="0.3">
      <c r="A51" s="51"/>
      <c r="B51" s="29" t="s">
        <v>73</v>
      </c>
    </row>
    <row r="52" spans="1:2" x14ac:dyDescent="0.3">
      <c r="A52" s="51"/>
      <c r="B52" s="29" t="s">
        <v>74</v>
      </c>
    </row>
    <row r="53" spans="1:2" x14ac:dyDescent="0.3">
      <c r="A53" s="31" t="s">
        <v>106</v>
      </c>
      <c r="B53" s="24" t="s">
        <v>75</v>
      </c>
    </row>
    <row r="54" spans="1:2" x14ac:dyDescent="0.3">
      <c r="A54" s="31" t="s">
        <v>95</v>
      </c>
      <c r="B54" s="24" t="s">
        <v>76</v>
      </c>
    </row>
    <row r="55" spans="1:2" x14ac:dyDescent="0.3">
      <c r="A55" s="31" t="s">
        <v>107</v>
      </c>
      <c r="B55" s="24" t="s">
        <v>77</v>
      </c>
    </row>
    <row r="56" spans="1:2" x14ac:dyDescent="0.3">
      <c r="A56" s="31" t="s">
        <v>108</v>
      </c>
      <c r="B56" s="24" t="s">
        <v>78</v>
      </c>
    </row>
    <row r="57" spans="1:2" x14ac:dyDescent="0.3">
      <c r="A57" s="31" t="s">
        <v>98</v>
      </c>
      <c r="B57" s="24" t="s">
        <v>79</v>
      </c>
    </row>
    <row r="58" spans="1:2" ht="15" thickBot="1" x14ac:dyDescent="0.35">
      <c r="A58" s="32" t="s">
        <v>100</v>
      </c>
      <c r="B58" s="25" t="s">
        <v>80</v>
      </c>
    </row>
  </sheetData>
  <mergeCells count="7">
    <mergeCell ref="A50:A52"/>
    <mergeCell ref="A9:A11"/>
    <mergeCell ref="A12:A14"/>
    <mergeCell ref="A15:A28"/>
    <mergeCell ref="A35:A41"/>
    <mergeCell ref="A43:A46"/>
    <mergeCell ref="A47:A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249"/>
  <sheetViews>
    <sheetView zoomScale="81" zoomScaleNormal="81" workbookViewId="0">
      <selection activeCell="AO1" sqref="AO1"/>
    </sheetView>
  </sheetViews>
  <sheetFormatPr defaultColWidth="12.77734375" defaultRowHeight="14.4" x14ac:dyDescent="0.3"/>
  <cols>
    <col min="35" max="35" width="15" customWidth="1"/>
  </cols>
  <sheetData>
    <row r="1" spans="1:46" ht="58.2" thickBot="1" x14ac:dyDescent="0.35">
      <c r="A1" s="43" t="s">
        <v>0</v>
      </c>
      <c r="B1" s="44" t="s">
        <v>1</v>
      </c>
      <c r="C1" s="44" t="s">
        <v>2</v>
      </c>
      <c r="D1" s="44" t="s">
        <v>3</v>
      </c>
      <c r="E1" s="44" t="s">
        <v>90</v>
      </c>
      <c r="F1" s="34" t="s">
        <v>42</v>
      </c>
      <c r="G1" s="34" t="s">
        <v>21</v>
      </c>
      <c r="H1" s="34" t="s">
        <v>33</v>
      </c>
      <c r="I1" s="34" t="s">
        <v>22</v>
      </c>
      <c r="J1" s="34" t="s">
        <v>45</v>
      </c>
      <c r="K1" s="34" t="s">
        <v>43</v>
      </c>
      <c r="L1" s="34" t="s">
        <v>16</v>
      </c>
      <c r="M1" s="34" t="s">
        <v>34</v>
      </c>
      <c r="N1" s="34" t="s">
        <v>46</v>
      </c>
      <c r="O1" s="34" t="s">
        <v>38</v>
      </c>
      <c r="P1" s="34" t="s">
        <v>41</v>
      </c>
      <c r="Q1" s="34" t="s">
        <v>44</v>
      </c>
      <c r="R1" s="34" t="s">
        <v>28</v>
      </c>
      <c r="S1" s="34" t="s">
        <v>111</v>
      </c>
      <c r="T1" s="44" t="s">
        <v>4</v>
      </c>
      <c r="U1" s="44" t="s">
        <v>5</v>
      </c>
      <c r="V1" s="44" t="s">
        <v>6</v>
      </c>
      <c r="W1" s="44" t="s">
        <v>7</v>
      </c>
      <c r="X1" s="44" t="s">
        <v>93</v>
      </c>
      <c r="Y1" s="34" t="s">
        <v>32</v>
      </c>
      <c r="Z1" s="34" t="s">
        <v>23</v>
      </c>
      <c r="AA1" s="34" t="s">
        <v>26</v>
      </c>
      <c r="AB1" s="34" t="s">
        <v>31</v>
      </c>
      <c r="AC1" s="34" t="s">
        <v>30</v>
      </c>
      <c r="AD1" s="34" t="s">
        <v>40</v>
      </c>
      <c r="AE1" s="34" t="s">
        <v>111</v>
      </c>
      <c r="AF1" s="44" t="s">
        <v>8</v>
      </c>
      <c r="AG1" s="44" t="s">
        <v>11</v>
      </c>
      <c r="AH1" s="34" t="s">
        <v>18</v>
      </c>
      <c r="AI1" s="34" t="s">
        <v>37</v>
      </c>
      <c r="AJ1" s="44" t="s">
        <v>12</v>
      </c>
      <c r="AK1" s="34" t="s">
        <v>19</v>
      </c>
      <c r="AL1" s="44" t="s">
        <v>13</v>
      </c>
      <c r="AM1" s="34" t="s">
        <v>25</v>
      </c>
      <c r="AN1" s="44" t="s">
        <v>94</v>
      </c>
      <c r="AO1" s="44" t="s">
        <v>95</v>
      </c>
      <c r="AP1" s="44" t="s">
        <v>96</v>
      </c>
      <c r="AQ1" s="44" t="s">
        <v>97</v>
      </c>
      <c r="AR1" s="44" t="s">
        <v>98</v>
      </c>
      <c r="AS1" s="34" t="s">
        <v>99</v>
      </c>
      <c r="AT1" s="45" t="s">
        <v>100</v>
      </c>
    </row>
    <row r="2" spans="1:46" x14ac:dyDescent="0.3">
      <c r="A2" s="37">
        <v>1</v>
      </c>
      <c r="B2" s="35">
        <v>58</v>
      </c>
      <c r="C2" s="35" t="s">
        <v>14</v>
      </c>
      <c r="D2" s="35" t="s">
        <v>15</v>
      </c>
      <c r="E2" s="36" t="s">
        <v>16</v>
      </c>
      <c r="F2" s="36">
        <v>0</v>
      </c>
      <c r="G2" s="36">
        <v>0</v>
      </c>
      <c r="H2" s="36">
        <v>0</v>
      </c>
      <c r="I2" s="36">
        <v>0</v>
      </c>
      <c r="J2" s="36">
        <v>0</v>
      </c>
      <c r="K2" s="36">
        <v>0</v>
      </c>
      <c r="L2" s="36">
        <v>1</v>
      </c>
      <c r="M2" s="36">
        <v>0</v>
      </c>
      <c r="N2" s="36">
        <v>0</v>
      </c>
      <c r="O2" s="36">
        <v>0</v>
      </c>
      <c r="P2" s="36">
        <v>0</v>
      </c>
      <c r="Q2" s="36">
        <v>0</v>
      </c>
      <c r="R2" s="36">
        <v>0</v>
      </c>
      <c r="S2" s="36">
        <v>0</v>
      </c>
      <c r="T2" s="38">
        <v>49.2</v>
      </c>
      <c r="U2" s="35">
        <v>160</v>
      </c>
      <c r="V2" s="39">
        <v>118</v>
      </c>
      <c r="W2" s="39">
        <v>32</v>
      </c>
      <c r="X2" s="35" t="s">
        <v>111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1</v>
      </c>
      <c r="AF2" s="49">
        <v>11.4</v>
      </c>
      <c r="AG2" s="35" t="s">
        <v>18</v>
      </c>
      <c r="AH2" s="35">
        <v>1</v>
      </c>
      <c r="AI2" s="35">
        <v>0</v>
      </c>
      <c r="AJ2" s="35" t="s">
        <v>19</v>
      </c>
      <c r="AK2" s="35">
        <v>1</v>
      </c>
      <c r="AL2" s="35" t="s">
        <v>20</v>
      </c>
      <c r="AM2" s="35">
        <v>0</v>
      </c>
      <c r="AN2" s="41">
        <v>660293</v>
      </c>
      <c r="AO2" s="41">
        <v>25</v>
      </c>
      <c r="AP2" s="41">
        <v>12</v>
      </c>
      <c r="AQ2" s="41">
        <v>13</v>
      </c>
      <c r="AR2" s="41" t="s">
        <v>47</v>
      </c>
      <c r="AS2" s="41">
        <v>1</v>
      </c>
      <c r="AT2" s="42">
        <v>38000</v>
      </c>
    </row>
    <row r="3" spans="1:46" x14ac:dyDescent="0.3">
      <c r="A3" s="13">
        <v>2</v>
      </c>
      <c r="B3" s="1">
        <v>59</v>
      </c>
      <c r="C3" s="1" t="s">
        <v>14</v>
      </c>
      <c r="D3" s="1" t="s">
        <v>15</v>
      </c>
      <c r="E3" s="2" t="s">
        <v>21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36">
        <v>0</v>
      </c>
      <c r="T3" s="3">
        <v>41</v>
      </c>
      <c r="U3" s="1">
        <v>155</v>
      </c>
      <c r="V3" s="4">
        <v>78</v>
      </c>
      <c r="W3" s="4">
        <v>28</v>
      </c>
      <c r="X3" s="35" t="s">
        <v>111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35">
        <v>1</v>
      </c>
      <c r="AF3" s="6">
        <v>11.4</v>
      </c>
      <c r="AG3" s="1" t="s">
        <v>18</v>
      </c>
      <c r="AH3" s="1">
        <v>1</v>
      </c>
      <c r="AI3" s="1">
        <v>0</v>
      </c>
      <c r="AJ3" s="1" t="s">
        <v>19</v>
      </c>
      <c r="AK3" s="1">
        <v>1</v>
      </c>
      <c r="AL3" s="1" t="s">
        <v>20</v>
      </c>
      <c r="AM3" s="1">
        <v>0</v>
      </c>
      <c r="AN3" s="12">
        <v>809130</v>
      </c>
      <c r="AO3" s="12">
        <v>41</v>
      </c>
      <c r="AP3" s="12">
        <v>20</v>
      </c>
      <c r="AQ3" s="12">
        <v>21</v>
      </c>
      <c r="AR3" s="12" t="s">
        <v>47</v>
      </c>
      <c r="AS3" s="12">
        <v>1</v>
      </c>
      <c r="AT3" s="14">
        <v>39690</v>
      </c>
    </row>
    <row r="4" spans="1:46" x14ac:dyDescent="0.3">
      <c r="A4" s="13">
        <v>3</v>
      </c>
      <c r="B4" s="1">
        <v>82</v>
      </c>
      <c r="C4" s="1" t="s">
        <v>14</v>
      </c>
      <c r="D4" s="1" t="s">
        <v>15</v>
      </c>
      <c r="E4" s="2" t="s">
        <v>22</v>
      </c>
      <c r="F4" s="2">
        <v>0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36">
        <v>0</v>
      </c>
      <c r="T4" s="3">
        <v>46.6</v>
      </c>
      <c r="U4" s="1">
        <v>164</v>
      </c>
      <c r="V4" s="4">
        <v>100</v>
      </c>
      <c r="W4" s="4">
        <v>20</v>
      </c>
      <c r="X4" s="1" t="s">
        <v>23</v>
      </c>
      <c r="Y4" s="1">
        <v>0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6">
        <v>11.8</v>
      </c>
      <c r="AG4" s="1" t="s">
        <v>24</v>
      </c>
      <c r="AH4" s="1">
        <v>0</v>
      </c>
      <c r="AI4" s="1">
        <v>0</v>
      </c>
      <c r="AJ4" s="1" t="s">
        <v>19</v>
      </c>
      <c r="AK4" s="1">
        <v>1</v>
      </c>
      <c r="AL4" s="1" t="s">
        <v>25</v>
      </c>
      <c r="AM4" s="1">
        <v>1</v>
      </c>
      <c r="AN4" s="12">
        <v>362231</v>
      </c>
      <c r="AO4" s="12">
        <v>18</v>
      </c>
      <c r="AP4" s="12">
        <v>9</v>
      </c>
      <c r="AQ4" s="12">
        <v>9</v>
      </c>
      <c r="AR4" s="12" t="s">
        <v>48</v>
      </c>
      <c r="AS4" s="12">
        <v>0</v>
      </c>
      <c r="AT4" s="14">
        <v>0</v>
      </c>
    </row>
    <row r="5" spans="1:46" x14ac:dyDescent="0.3">
      <c r="A5" s="13">
        <v>4</v>
      </c>
      <c r="B5" s="1">
        <v>46</v>
      </c>
      <c r="C5" s="1" t="s">
        <v>14</v>
      </c>
      <c r="D5" s="1" t="s">
        <v>15</v>
      </c>
      <c r="E5" s="2" t="s">
        <v>21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36">
        <v>0</v>
      </c>
      <c r="T5" s="3">
        <v>80</v>
      </c>
      <c r="U5" s="1">
        <v>173</v>
      </c>
      <c r="V5" s="4">
        <v>122</v>
      </c>
      <c r="W5" s="4">
        <v>24</v>
      </c>
      <c r="X5" s="1" t="s">
        <v>26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6">
        <v>11.8</v>
      </c>
      <c r="AG5" s="1" t="s">
        <v>18</v>
      </c>
      <c r="AH5" s="1">
        <v>1</v>
      </c>
      <c r="AI5" s="1">
        <v>0</v>
      </c>
      <c r="AJ5" s="1" t="s">
        <v>19</v>
      </c>
      <c r="AK5" s="1">
        <v>1</v>
      </c>
      <c r="AL5" s="1" t="s">
        <v>20</v>
      </c>
      <c r="AM5" s="1">
        <v>0</v>
      </c>
      <c r="AN5" s="12">
        <v>629990</v>
      </c>
      <c r="AO5" s="12">
        <v>14</v>
      </c>
      <c r="AP5" s="12">
        <v>13</v>
      </c>
      <c r="AQ5" s="12">
        <v>1</v>
      </c>
      <c r="AR5" s="12" t="s">
        <v>47</v>
      </c>
      <c r="AS5" s="12">
        <v>1</v>
      </c>
      <c r="AT5" s="14">
        <v>89450</v>
      </c>
    </row>
    <row r="6" spans="1:46" x14ac:dyDescent="0.3">
      <c r="A6" s="13">
        <v>5</v>
      </c>
      <c r="B6" s="1">
        <v>60</v>
      </c>
      <c r="C6" s="1" t="s">
        <v>14</v>
      </c>
      <c r="D6" s="1" t="s">
        <v>15</v>
      </c>
      <c r="E6" s="2" t="s">
        <v>21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36">
        <v>0</v>
      </c>
      <c r="T6" s="3">
        <v>58</v>
      </c>
      <c r="U6" s="1">
        <v>175</v>
      </c>
      <c r="V6" s="4">
        <v>72</v>
      </c>
      <c r="W6" s="4">
        <v>18</v>
      </c>
      <c r="X6" s="1" t="s">
        <v>23</v>
      </c>
      <c r="Y6" s="1">
        <v>0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6">
        <v>10</v>
      </c>
      <c r="AG6" s="1" t="s">
        <v>18</v>
      </c>
      <c r="AH6" s="1">
        <v>1</v>
      </c>
      <c r="AI6" s="1">
        <v>0</v>
      </c>
      <c r="AJ6" s="1" t="s">
        <v>19</v>
      </c>
      <c r="AK6" s="1">
        <v>1</v>
      </c>
      <c r="AL6" s="1" t="s">
        <v>20</v>
      </c>
      <c r="AM6" s="1">
        <v>0</v>
      </c>
      <c r="AN6" s="12">
        <v>444876</v>
      </c>
      <c r="AO6" s="12">
        <v>24</v>
      </c>
      <c r="AP6" s="12">
        <v>12</v>
      </c>
      <c r="AQ6" s="12">
        <v>12</v>
      </c>
      <c r="AR6" s="12" t="s">
        <v>48</v>
      </c>
      <c r="AS6" s="12">
        <v>0</v>
      </c>
      <c r="AT6" s="14">
        <v>0</v>
      </c>
    </row>
    <row r="7" spans="1:46" x14ac:dyDescent="0.3">
      <c r="A7" s="13">
        <v>6</v>
      </c>
      <c r="B7" s="1">
        <v>75</v>
      </c>
      <c r="C7" s="1" t="s">
        <v>14</v>
      </c>
      <c r="D7" s="1" t="s">
        <v>15</v>
      </c>
      <c r="E7" s="2" t="s">
        <v>21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36">
        <v>0</v>
      </c>
      <c r="T7" s="3">
        <v>45</v>
      </c>
      <c r="U7" s="1">
        <v>140</v>
      </c>
      <c r="V7" s="4">
        <v>130</v>
      </c>
      <c r="W7" s="4">
        <v>42</v>
      </c>
      <c r="X7" s="35" t="s">
        <v>111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35">
        <v>1</v>
      </c>
      <c r="AF7" s="6">
        <v>11.8</v>
      </c>
      <c r="AG7" s="1" t="s">
        <v>18</v>
      </c>
      <c r="AH7" s="1">
        <v>1</v>
      </c>
      <c r="AI7" s="1">
        <v>0</v>
      </c>
      <c r="AJ7" s="1" t="s">
        <v>19</v>
      </c>
      <c r="AK7" s="1">
        <v>1</v>
      </c>
      <c r="AL7" s="1" t="s">
        <v>20</v>
      </c>
      <c r="AM7" s="1">
        <v>0</v>
      </c>
      <c r="AN7" s="12">
        <v>372357</v>
      </c>
      <c r="AO7" s="12">
        <v>31</v>
      </c>
      <c r="AP7" s="12">
        <v>9</v>
      </c>
      <c r="AQ7" s="12">
        <v>22</v>
      </c>
      <c r="AR7" s="12" t="s">
        <v>48</v>
      </c>
      <c r="AS7" s="12">
        <v>0</v>
      </c>
      <c r="AT7" s="14">
        <v>0</v>
      </c>
    </row>
    <row r="8" spans="1:46" x14ac:dyDescent="0.3">
      <c r="A8" s="13">
        <v>7</v>
      </c>
      <c r="B8" s="1">
        <v>73</v>
      </c>
      <c r="C8" s="1" t="s">
        <v>14</v>
      </c>
      <c r="D8" s="1" t="s">
        <v>15</v>
      </c>
      <c r="E8" s="2" t="s">
        <v>22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36">
        <v>0</v>
      </c>
      <c r="T8" s="3">
        <v>60</v>
      </c>
      <c r="U8" s="1">
        <v>170</v>
      </c>
      <c r="V8" s="4">
        <v>108</v>
      </c>
      <c r="W8" s="4">
        <v>24</v>
      </c>
      <c r="X8" s="1" t="s">
        <v>23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6">
        <v>14.5</v>
      </c>
      <c r="AG8" s="1" t="s">
        <v>24</v>
      </c>
      <c r="AH8" s="1">
        <v>0</v>
      </c>
      <c r="AI8" s="1">
        <v>0</v>
      </c>
      <c r="AJ8" s="1" t="s">
        <v>19</v>
      </c>
      <c r="AK8" s="1">
        <v>1</v>
      </c>
      <c r="AL8" s="1" t="s">
        <v>25</v>
      </c>
      <c r="AM8" s="1">
        <v>1</v>
      </c>
      <c r="AN8" s="12">
        <v>887350</v>
      </c>
      <c r="AO8" s="12">
        <v>15</v>
      </c>
      <c r="AP8" s="12">
        <v>15</v>
      </c>
      <c r="AQ8" s="12">
        <v>0</v>
      </c>
      <c r="AR8" s="12" t="s">
        <v>48</v>
      </c>
      <c r="AS8" s="12">
        <v>0</v>
      </c>
      <c r="AT8" s="14">
        <v>0</v>
      </c>
    </row>
    <row r="9" spans="1:46" x14ac:dyDescent="0.3">
      <c r="A9" s="13">
        <v>8</v>
      </c>
      <c r="B9" s="1">
        <v>71</v>
      </c>
      <c r="C9" s="1" t="s">
        <v>14</v>
      </c>
      <c r="D9" s="1" t="s">
        <v>15</v>
      </c>
      <c r="E9" s="2" t="s">
        <v>22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36">
        <v>0</v>
      </c>
      <c r="T9" s="3">
        <v>43.8</v>
      </c>
      <c r="U9" s="1">
        <v>164</v>
      </c>
      <c r="V9" s="4">
        <v>60</v>
      </c>
      <c r="W9" s="4">
        <v>22</v>
      </c>
      <c r="X9" s="35" t="s">
        <v>111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35">
        <v>1</v>
      </c>
      <c r="AF9" s="6">
        <v>10.1</v>
      </c>
      <c r="AG9" s="1" t="s">
        <v>24</v>
      </c>
      <c r="AH9" s="1">
        <v>0</v>
      </c>
      <c r="AI9" s="1">
        <v>0</v>
      </c>
      <c r="AJ9" s="1" t="s">
        <v>19</v>
      </c>
      <c r="AK9" s="1">
        <v>1</v>
      </c>
      <c r="AL9" s="1" t="s">
        <v>20</v>
      </c>
      <c r="AM9" s="1">
        <v>0</v>
      </c>
      <c r="AN9" s="12">
        <v>389827</v>
      </c>
      <c r="AO9" s="12">
        <v>24</v>
      </c>
      <c r="AP9" s="12">
        <v>11</v>
      </c>
      <c r="AQ9" s="12">
        <v>13</v>
      </c>
      <c r="AR9" s="12" t="s">
        <v>48</v>
      </c>
      <c r="AS9" s="12">
        <v>0</v>
      </c>
      <c r="AT9" s="14">
        <v>0</v>
      </c>
    </row>
    <row r="10" spans="1:46" x14ac:dyDescent="0.3">
      <c r="A10" s="13">
        <v>9</v>
      </c>
      <c r="B10" s="1">
        <v>72</v>
      </c>
      <c r="C10" s="1" t="s">
        <v>14</v>
      </c>
      <c r="D10" s="1" t="s">
        <v>15</v>
      </c>
      <c r="E10" s="2" t="s">
        <v>21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36">
        <v>0</v>
      </c>
      <c r="T10" s="3">
        <v>72</v>
      </c>
      <c r="U10" s="1">
        <v>174</v>
      </c>
      <c r="V10" s="4">
        <v>95</v>
      </c>
      <c r="W10" s="4">
        <v>25</v>
      </c>
      <c r="X10" s="1" t="s">
        <v>23</v>
      </c>
      <c r="Y10" s="1">
        <v>0</v>
      </c>
      <c r="Z10" s="1">
        <v>1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6">
        <v>9.6</v>
      </c>
      <c r="AG10" s="1" t="s">
        <v>18</v>
      </c>
      <c r="AH10" s="1">
        <v>1</v>
      </c>
      <c r="AI10" s="1">
        <v>0</v>
      </c>
      <c r="AJ10" s="1" t="s">
        <v>19</v>
      </c>
      <c r="AK10" s="1">
        <v>1</v>
      </c>
      <c r="AL10" s="1" t="s">
        <v>20</v>
      </c>
      <c r="AM10" s="1">
        <v>0</v>
      </c>
      <c r="AN10" s="12">
        <v>437529.07</v>
      </c>
      <c r="AO10" s="12">
        <v>26</v>
      </c>
      <c r="AP10" s="12">
        <v>9</v>
      </c>
      <c r="AQ10" s="12">
        <v>17</v>
      </c>
      <c r="AR10" s="12" t="s">
        <v>48</v>
      </c>
      <c r="AS10" s="12">
        <v>0</v>
      </c>
      <c r="AT10" s="14">
        <v>0</v>
      </c>
    </row>
    <row r="11" spans="1:46" x14ac:dyDescent="0.3">
      <c r="A11" s="13">
        <v>10</v>
      </c>
      <c r="B11" s="1">
        <v>61</v>
      </c>
      <c r="C11" s="1" t="s">
        <v>14</v>
      </c>
      <c r="D11" s="1" t="s">
        <v>15</v>
      </c>
      <c r="E11" s="2" t="s">
        <v>22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36">
        <v>0</v>
      </c>
      <c r="T11" s="3">
        <v>76.599999999999994</v>
      </c>
      <c r="U11" s="1">
        <v>175</v>
      </c>
      <c r="V11" s="4">
        <v>66</v>
      </c>
      <c r="W11" s="4">
        <v>22</v>
      </c>
      <c r="X11" s="35" t="s">
        <v>111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35">
        <v>1</v>
      </c>
      <c r="AF11" s="6">
        <v>14</v>
      </c>
      <c r="AG11" s="1" t="s">
        <v>24</v>
      </c>
      <c r="AH11" s="1">
        <v>0</v>
      </c>
      <c r="AI11" s="1">
        <v>0</v>
      </c>
      <c r="AJ11" s="1" t="s">
        <v>19</v>
      </c>
      <c r="AK11" s="1">
        <v>1</v>
      </c>
      <c r="AL11" s="1" t="s">
        <v>25</v>
      </c>
      <c r="AM11" s="1">
        <v>1</v>
      </c>
      <c r="AN11" s="12">
        <v>364222</v>
      </c>
      <c r="AO11" s="12">
        <v>20</v>
      </c>
      <c r="AP11" s="12">
        <v>4</v>
      </c>
      <c r="AQ11" s="12">
        <v>16</v>
      </c>
      <c r="AR11" s="12" t="s">
        <v>48</v>
      </c>
      <c r="AS11" s="12">
        <v>0</v>
      </c>
      <c r="AT11" s="14">
        <v>0</v>
      </c>
    </row>
    <row r="12" spans="1:46" x14ac:dyDescent="0.3">
      <c r="A12" s="13">
        <v>11</v>
      </c>
      <c r="B12" s="1">
        <v>61</v>
      </c>
      <c r="C12" s="1" t="s">
        <v>14</v>
      </c>
      <c r="D12" s="1" t="s">
        <v>15</v>
      </c>
      <c r="E12" s="2" t="s">
        <v>21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36">
        <v>0</v>
      </c>
      <c r="T12" s="3">
        <v>64</v>
      </c>
      <c r="U12" s="1">
        <v>170</v>
      </c>
      <c r="V12" s="4">
        <v>99</v>
      </c>
      <c r="W12" s="4">
        <v>24</v>
      </c>
      <c r="X12" s="1" t="s">
        <v>26</v>
      </c>
      <c r="Y12" s="1">
        <v>0</v>
      </c>
      <c r="Z12" s="1">
        <v>0</v>
      </c>
      <c r="AA12" s="1">
        <v>1</v>
      </c>
      <c r="AB12" s="1">
        <v>0</v>
      </c>
      <c r="AC12" s="1">
        <v>0</v>
      </c>
      <c r="AD12" s="1">
        <v>0</v>
      </c>
      <c r="AE12" s="1">
        <v>0</v>
      </c>
      <c r="AF12" s="6">
        <v>13</v>
      </c>
      <c r="AG12" s="1" t="s">
        <v>24</v>
      </c>
      <c r="AH12" s="1">
        <v>0</v>
      </c>
      <c r="AI12" s="1">
        <v>0</v>
      </c>
      <c r="AJ12" s="1" t="s">
        <v>19</v>
      </c>
      <c r="AK12" s="1">
        <v>1</v>
      </c>
      <c r="AL12" s="1" t="s">
        <v>25</v>
      </c>
      <c r="AM12" s="1">
        <v>1</v>
      </c>
      <c r="AN12" s="12">
        <v>514524</v>
      </c>
      <c r="AO12" s="12">
        <v>21</v>
      </c>
      <c r="AP12" s="12">
        <v>10</v>
      </c>
      <c r="AQ12" s="12">
        <v>11</v>
      </c>
      <c r="AR12" s="12" t="s">
        <v>47</v>
      </c>
      <c r="AS12" s="12">
        <v>1</v>
      </c>
      <c r="AT12" s="14">
        <v>39690</v>
      </c>
    </row>
    <row r="13" spans="1:46" x14ac:dyDescent="0.3">
      <c r="A13" s="13">
        <v>12</v>
      </c>
      <c r="B13" s="1">
        <v>45</v>
      </c>
      <c r="C13" s="1" t="s">
        <v>27</v>
      </c>
      <c r="D13" s="1" t="s">
        <v>15</v>
      </c>
      <c r="E13" s="2" t="s">
        <v>16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36">
        <v>0</v>
      </c>
      <c r="T13" s="3">
        <v>50</v>
      </c>
      <c r="U13" s="1">
        <v>151</v>
      </c>
      <c r="V13" s="4">
        <v>60</v>
      </c>
      <c r="W13" s="4">
        <v>19</v>
      </c>
      <c r="X13" s="35" t="s">
        <v>111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35">
        <v>1</v>
      </c>
      <c r="AF13" s="6">
        <v>12.7</v>
      </c>
      <c r="AG13" s="1" t="s">
        <v>24</v>
      </c>
      <c r="AH13" s="1">
        <v>0</v>
      </c>
      <c r="AI13" s="1">
        <v>0</v>
      </c>
      <c r="AJ13" s="1" t="s">
        <v>19</v>
      </c>
      <c r="AK13" s="1">
        <v>1</v>
      </c>
      <c r="AL13" s="1" t="s">
        <v>25</v>
      </c>
      <c r="AM13" s="1">
        <v>1</v>
      </c>
      <c r="AN13" s="12">
        <v>539976</v>
      </c>
      <c r="AO13" s="12">
        <v>27</v>
      </c>
      <c r="AP13" s="12">
        <v>22</v>
      </c>
      <c r="AQ13" s="12">
        <v>5</v>
      </c>
      <c r="AR13" s="12" t="s">
        <v>47</v>
      </c>
      <c r="AS13" s="12">
        <v>1</v>
      </c>
      <c r="AT13" s="14">
        <v>20900</v>
      </c>
    </row>
    <row r="14" spans="1:46" x14ac:dyDescent="0.3">
      <c r="A14" s="13">
        <v>13</v>
      </c>
      <c r="B14" s="1">
        <v>40</v>
      </c>
      <c r="C14" s="1" t="s">
        <v>14</v>
      </c>
      <c r="D14" s="1" t="s">
        <v>15</v>
      </c>
      <c r="E14" s="2" t="s">
        <v>28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36">
        <v>0</v>
      </c>
      <c r="T14" s="3">
        <v>71.400000000000006</v>
      </c>
      <c r="U14" s="1">
        <v>165</v>
      </c>
      <c r="V14" s="4">
        <v>100</v>
      </c>
      <c r="W14" s="4">
        <v>22</v>
      </c>
      <c r="X14" s="35" t="s">
        <v>111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35">
        <v>1</v>
      </c>
      <c r="AF14" s="6">
        <v>13.2</v>
      </c>
      <c r="AG14" s="1" t="s">
        <v>24</v>
      </c>
      <c r="AH14" s="1">
        <v>0</v>
      </c>
      <c r="AI14" s="1">
        <v>0</v>
      </c>
      <c r="AJ14" s="1" t="s">
        <v>19</v>
      </c>
      <c r="AK14" s="1">
        <v>1</v>
      </c>
      <c r="AL14" s="1" t="s">
        <v>25</v>
      </c>
      <c r="AM14" s="1">
        <v>1</v>
      </c>
      <c r="AN14" s="12">
        <v>711616</v>
      </c>
      <c r="AO14" s="12">
        <v>17</v>
      </c>
      <c r="AP14" s="12">
        <v>10</v>
      </c>
      <c r="AQ14" s="12">
        <v>7</v>
      </c>
      <c r="AR14" s="12" t="s">
        <v>47</v>
      </c>
      <c r="AS14" s="12">
        <v>1</v>
      </c>
      <c r="AT14" s="14">
        <v>196848</v>
      </c>
    </row>
    <row r="15" spans="1:46" x14ac:dyDescent="0.3">
      <c r="A15" s="13">
        <v>14</v>
      </c>
      <c r="B15" s="1">
        <v>64</v>
      </c>
      <c r="C15" s="1" t="s">
        <v>14</v>
      </c>
      <c r="D15" s="1" t="s">
        <v>15</v>
      </c>
      <c r="E15" s="2" t="s">
        <v>110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1</v>
      </c>
      <c r="T15" s="3">
        <v>56</v>
      </c>
      <c r="U15" s="1">
        <v>168</v>
      </c>
      <c r="V15" s="4">
        <v>105</v>
      </c>
      <c r="W15" s="4">
        <v>22</v>
      </c>
      <c r="X15" s="35" t="s">
        <v>111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35">
        <v>1</v>
      </c>
      <c r="AF15" s="6">
        <v>14</v>
      </c>
      <c r="AG15" s="1" t="s">
        <v>24</v>
      </c>
      <c r="AH15" s="1">
        <v>0</v>
      </c>
      <c r="AI15" s="1">
        <v>0</v>
      </c>
      <c r="AJ15" s="1" t="s">
        <v>19</v>
      </c>
      <c r="AK15" s="1">
        <v>1</v>
      </c>
      <c r="AL15" s="1" t="s">
        <v>25</v>
      </c>
      <c r="AM15" s="1">
        <v>1</v>
      </c>
      <c r="AN15" s="12">
        <v>420040</v>
      </c>
      <c r="AO15" s="12">
        <v>21</v>
      </c>
      <c r="AP15" s="12">
        <v>10</v>
      </c>
      <c r="AQ15" s="12">
        <v>11</v>
      </c>
      <c r="AR15" s="12" t="s">
        <v>48</v>
      </c>
      <c r="AS15" s="12">
        <v>0</v>
      </c>
      <c r="AT15" s="14">
        <v>0</v>
      </c>
    </row>
    <row r="16" spans="1:46" x14ac:dyDescent="0.3">
      <c r="A16" s="13">
        <v>15</v>
      </c>
      <c r="B16" s="1">
        <v>68</v>
      </c>
      <c r="C16" s="1" t="s">
        <v>27</v>
      </c>
      <c r="D16" s="1" t="s">
        <v>29</v>
      </c>
      <c r="E16" s="2" t="s">
        <v>21</v>
      </c>
      <c r="F16" s="2">
        <v>0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36">
        <v>0</v>
      </c>
      <c r="T16" s="3">
        <v>51</v>
      </c>
      <c r="U16" s="1">
        <v>123</v>
      </c>
      <c r="V16" s="4">
        <v>66</v>
      </c>
      <c r="W16" s="4">
        <v>20</v>
      </c>
      <c r="X16" s="1" t="s">
        <v>30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6">
        <v>12.5</v>
      </c>
      <c r="AG16" s="1" t="s">
        <v>18</v>
      </c>
      <c r="AH16" s="1">
        <v>1</v>
      </c>
      <c r="AI16" s="1">
        <v>0</v>
      </c>
      <c r="AJ16" s="1" t="s">
        <v>19</v>
      </c>
      <c r="AK16" s="1">
        <v>1</v>
      </c>
      <c r="AL16" s="1" t="s">
        <v>20</v>
      </c>
      <c r="AM16" s="1">
        <v>0</v>
      </c>
      <c r="AN16" s="12">
        <v>495968.7</v>
      </c>
      <c r="AO16" s="12">
        <v>16</v>
      </c>
      <c r="AP16" s="12">
        <v>16</v>
      </c>
      <c r="AQ16" s="12">
        <v>0</v>
      </c>
      <c r="AR16" s="12" t="s">
        <v>48</v>
      </c>
      <c r="AS16" s="12">
        <v>0</v>
      </c>
      <c r="AT16" s="14">
        <v>0</v>
      </c>
    </row>
    <row r="17" spans="1:46" x14ac:dyDescent="0.3">
      <c r="A17" s="13">
        <v>16</v>
      </c>
      <c r="B17" s="1">
        <v>78</v>
      </c>
      <c r="C17" s="1" t="s">
        <v>27</v>
      </c>
      <c r="D17" s="1" t="s">
        <v>15</v>
      </c>
      <c r="E17" s="2" t="s">
        <v>21</v>
      </c>
      <c r="F17" s="2">
        <v>0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36">
        <v>0</v>
      </c>
      <c r="T17" s="3">
        <v>70</v>
      </c>
      <c r="U17" s="1">
        <v>154</v>
      </c>
      <c r="V17" s="4">
        <v>63</v>
      </c>
      <c r="W17" s="4">
        <v>20</v>
      </c>
      <c r="X17" s="1" t="s">
        <v>31</v>
      </c>
      <c r="Y17" s="1">
        <v>0</v>
      </c>
      <c r="Z17" s="1">
        <v>0</v>
      </c>
      <c r="AA17" s="1">
        <v>0</v>
      </c>
      <c r="AB17" s="1">
        <v>1</v>
      </c>
      <c r="AC17" s="1">
        <v>0</v>
      </c>
      <c r="AD17" s="1">
        <v>0</v>
      </c>
      <c r="AE17" s="1">
        <v>0</v>
      </c>
      <c r="AF17" s="6">
        <v>10</v>
      </c>
      <c r="AG17" s="1" t="s">
        <v>24</v>
      </c>
      <c r="AH17" s="1">
        <v>0</v>
      </c>
      <c r="AI17" s="1">
        <v>0</v>
      </c>
      <c r="AJ17" s="1" t="s">
        <v>19</v>
      </c>
      <c r="AK17" s="1">
        <v>1</v>
      </c>
      <c r="AL17" s="1" t="s">
        <v>25</v>
      </c>
      <c r="AM17" s="1">
        <v>1</v>
      </c>
      <c r="AN17" s="12">
        <v>157763</v>
      </c>
      <c r="AO17" s="12">
        <v>9</v>
      </c>
      <c r="AP17" s="12">
        <v>4</v>
      </c>
      <c r="AQ17" s="12">
        <v>3</v>
      </c>
      <c r="AR17" s="12" t="s">
        <v>48</v>
      </c>
      <c r="AS17" s="12">
        <v>0</v>
      </c>
      <c r="AT17" s="14">
        <v>0</v>
      </c>
    </row>
    <row r="18" spans="1:46" x14ac:dyDescent="0.3">
      <c r="A18" s="13">
        <v>17</v>
      </c>
      <c r="B18" s="1">
        <v>65</v>
      </c>
      <c r="C18" s="1" t="s">
        <v>14</v>
      </c>
      <c r="D18" s="1" t="s">
        <v>15</v>
      </c>
      <c r="E18" s="2" t="s">
        <v>21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36">
        <v>0</v>
      </c>
      <c r="T18" s="3">
        <v>65</v>
      </c>
      <c r="U18" s="1">
        <v>140</v>
      </c>
      <c r="V18" s="4">
        <v>93</v>
      </c>
      <c r="W18" s="4">
        <v>18</v>
      </c>
      <c r="X18" s="1" t="s">
        <v>32</v>
      </c>
      <c r="Y18" s="1">
        <v>1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6">
        <v>12.5</v>
      </c>
      <c r="AG18" s="1" t="s">
        <v>18</v>
      </c>
      <c r="AH18" s="1">
        <v>1</v>
      </c>
      <c r="AI18" s="1">
        <v>0</v>
      </c>
      <c r="AJ18" s="1" t="s">
        <v>19</v>
      </c>
      <c r="AK18" s="1">
        <v>1</v>
      </c>
      <c r="AL18" s="1" t="s">
        <v>20</v>
      </c>
      <c r="AM18" s="1">
        <v>0</v>
      </c>
      <c r="AN18" s="12">
        <v>501897</v>
      </c>
      <c r="AO18" s="12">
        <v>18</v>
      </c>
      <c r="AP18" s="12">
        <v>12</v>
      </c>
      <c r="AQ18" s="12">
        <v>6</v>
      </c>
      <c r="AR18" s="12" t="s">
        <v>48</v>
      </c>
      <c r="AS18" s="12">
        <v>0</v>
      </c>
      <c r="AT18" s="14">
        <v>0</v>
      </c>
    </row>
    <row r="19" spans="1:46" x14ac:dyDescent="0.3">
      <c r="A19" s="13">
        <v>18</v>
      </c>
      <c r="B19" s="1">
        <v>59</v>
      </c>
      <c r="C19" s="1" t="s">
        <v>27</v>
      </c>
      <c r="D19" s="1" t="s">
        <v>15</v>
      </c>
      <c r="E19" s="2" t="s">
        <v>28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36">
        <v>0</v>
      </c>
      <c r="T19" s="3">
        <v>47</v>
      </c>
      <c r="U19" s="1">
        <v>150</v>
      </c>
      <c r="V19" s="4">
        <v>60</v>
      </c>
      <c r="W19" s="4">
        <v>24</v>
      </c>
      <c r="X19" s="1" t="s">
        <v>26</v>
      </c>
      <c r="Y19" s="1">
        <v>0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6">
        <v>12.3</v>
      </c>
      <c r="AG19" s="1" t="s">
        <v>24</v>
      </c>
      <c r="AH19" s="1">
        <v>0</v>
      </c>
      <c r="AI19" s="1">
        <v>0</v>
      </c>
      <c r="AJ19" s="1" t="s">
        <v>19</v>
      </c>
      <c r="AK19" s="1">
        <v>1</v>
      </c>
      <c r="AL19" s="1" t="s">
        <v>25</v>
      </c>
      <c r="AM19" s="1">
        <v>1</v>
      </c>
      <c r="AN19" s="12">
        <v>343984</v>
      </c>
      <c r="AO19" s="12">
        <v>17</v>
      </c>
      <c r="AP19" s="12">
        <v>5</v>
      </c>
      <c r="AQ19" s="12">
        <v>12</v>
      </c>
      <c r="AR19" s="12" t="s">
        <v>47</v>
      </c>
      <c r="AS19" s="12">
        <v>1</v>
      </c>
      <c r="AT19" s="14">
        <v>20800</v>
      </c>
    </row>
    <row r="20" spans="1:46" x14ac:dyDescent="0.3">
      <c r="A20" s="13">
        <v>19</v>
      </c>
      <c r="B20" s="1">
        <v>76</v>
      </c>
      <c r="C20" s="1" t="s">
        <v>14</v>
      </c>
      <c r="D20" s="1" t="s">
        <v>15</v>
      </c>
      <c r="E20" s="2" t="s">
        <v>22</v>
      </c>
      <c r="F20" s="2">
        <v>0</v>
      </c>
      <c r="G20" s="2">
        <v>0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36">
        <v>0</v>
      </c>
      <c r="T20" s="3">
        <v>67.2</v>
      </c>
      <c r="U20" s="1">
        <v>172</v>
      </c>
      <c r="V20" s="4">
        <v>80</v>
      </c>
      <c r="W20" s="4">
        <v>20</v>
      </c>
      <c r="X20" s="35" t="s">
        <v>111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35">
        <v>1</v>
      </c>
      <c r="AF20" s="6">
        <v>14.7</v>
      </c>
      <c r="AG20" s="1" t="s">
        <v>24</v>
      </c>
      <c r="AH20" s="1">
        <v>0</v>
      </c>
      <c r="AI20" s="1">
        <v>0</v>
      </c>
      <c r="AJ20" s="1" t="s">
        <v>19</v>
      </c>
      <c r="AK20" s="1">
        <v>1</v>
      </c>
      <c r="AL20" s="1" t="s">
        <v>25</v>
      </c>
      <c r="AM20" s="1">
        <v>1</v>
      </c>
      <c r="AN20" s="12">
        <v>449395</v>
      </c>
      <c r="AO20" s="12">
        <v>27</v>
      </c>
      <c r="AP20" s="12">
        <v>13</v>
      </c>
      <c r="AQ20" s="12">
        <v>14</v>
      </c>
      <c r="AR20" s="12" t="s">
        <v>48</v>
      </c>
      <c r="AS20" s="12">
        <v>0</v>
      </c>
      <c r="AT20" s="14">
        <v>0</v>
      </c>
    </row>
    <row r="21" spans="1:46" x14ac:dyDescent="0.3">
      <c r="A21" s="13">
        <v>20</v>
      </c>
      <c r="B21" s="1">
        <v>47</v>
      </c>
      <c r="C21" s="1" t="s">
        <v>14</v>
      </c>
      <c r="D21" s="1" t="s">
        <v>15</v>
      </c>
      <c r="E21" s="2" t="s">
        <v>21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36">
        <v>0</v>
      </c>
      <c r="T21" s="3">
        <v>59</v>
      </c>
      <c r="U21" s="1">
        <v>160</v>
      </c>
      <c r="V21" s="4">
        <v>80</v>
      </c>
      <c r="W21" s="4">
        <v>20</v>
      </c>
      <c r="X21" s="35" t="s">
        <v>111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35">
        <v>1</v>
      </c>
      <c r="AF21" s="6">
        <v>13.6</v>
      </c>
      <c r="AG21" s="1" t="s">
        <v>24</v>
      </c>
      <c r="AH21" s="1">
        <v>0</v>
      </c>
      <c r="AI21" s="1">
        <v>0</v>
      </c>
      <c r="AJ21" s="1" t="s">
        <v>19</v>
      </c>
      <c r="AK21" s="1">
        <v>1</v>
      </c>
      <c r="AL21" s="1" t="s">
        <v>25</v>
      </c>
      <c r="AM21" s="1">
        <v>1</v>
      </c>
      <c r="AN21" s="12">
        <v>214716</v>
      </c>
      <c r="AO21" s="12">
        <v>10</v>
      </c>
      <c r="AP21" s="12">
        <v>2</v>
      </c>
      <c r="AQ21" s="12">
        <v>8</v>
      </c>
      <c r="AR21" s="12" t="s">
        <v>48</v>
      </c>
      <c r="AS21" s="12">
        <v>0</v>
      </c>
      <c r="AT21" s="14">
        <v>0</v>
      </c>
    </row>
    <row r="22" spans="1:46" x14ac:dyDescent="0.3">
      <c r="A22" s="13">
        <v>21</v>
      </c>
      <c r="B22" s="1">
        <v>54</v>
      </c>
      <c r="C22" s="1" t="s">
        <v>27</v>
      </c>
      <c r="D22" s="1" t="s">
        <v>15</v>
      </c>
      <c r="E22" s="2" t="s">
        <v>21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36">
        <v>0</v>
      </c>
      <c r="T22" s="3">
        <v>51</v>
      </c>
      <c r="U22" s="1">
        <v>147</v>
      </c>
      <c r="V22" s="4">
        <v>110</v>
      </c>
      <c r="W22" s="4">
        <v>26</v>
      </c>
      <c r="X22" s="1" t="s">
        <v>32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6">
        <v>11.4</v>
      </c>
      <c r="AG22" s="1" t="s">
        <v>24</v>
      </c>
      <c r="AH22" s="1">
        <v>0</v>
      </c>
      <c r="AI22" s="1">
        <v>0</v>
      </c>
      <c r="AJ22" s="1" t="s">
        <v>19</v>
      </c>
      <c r="AK22" s="1">
        <v>1</v>
      </c>
      <c r="AL22" s="1" t="s">
        <v>25</v>
      </c>
      <c r="AM22" s="1">
        <v>1</v>
      </c>
      <c r="AN22" s="12">
        <v>341109</v>
      </c>
      <c r="AO22" s="12">
        <v>16</v>
      </c>
      <c r="AP22" s="12">
        <v>10</v>
      </c>
      <c r="AQ22" s="12">
        <v>6</v>
      </c>
      <c r="AR22" s="12" t="s">
        <v>48</v>
      </c>
      <c r="AS22" s="12">
        <v>0</v>
      </c>
      <c r="AT22" s="14">
        <v>0</v>
      </c>
    </row>
    <row r="23" spans="1:46" x14ac:dyDescent="0.3">
      <c r="A23" s="13">
        <v>22</v>
      </c>
      <c r="B23" s="1">
        <v>62</v>
      </c>
      <c r="C23" s="1" t="s">
        <v>14</v>
      </c>
      <c r="D23" s="1" t="s">
        <v>15</v>
      </c>
      <c r="E23" s="2" t="s">
        <v>22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36">
        <v>0</v>
      </c>
      <c r="T23" s="3">
        <v>74</v>
      </c>
      <c r="U23" s="1">
        <v>160</v>
      </c>
      <c r="V23" s="4">
        <v>60</v>
      </c>
      <c r="W23" s="4">
        <v>24</v>
      </c>
      <c r="X23" s="1" t="s">
        <v>23</v>
      </c>
      <c r="Y23" s="1">
        <v>0</v>
      </c>
      <c r="Z23" s="1">
        <v>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6">
        <v>9.6999999999999993</v>
      </c>
      <c r="AG23" s="1" t="s">
        <v>24</v>
      </c>
      <c r="AH23" s="1">
        <v>0</v>
      </c>
      <c r="AI23" s="1">
        <v>0</v>
      </c>
      <c r="AJ23" s="1" t="s">
        <v>19</v>
      </c>
      <c r="AK23" s="1">
        <v>1</v>
      </c>
      <c r="AL23" s="1" t="s">
        <v>25</v>
      </c>
      <c r="AM23" s="1">
        <v>1</v>
      </c>
      <c r="AN23" s="12">
        <v>288960</v>
      </c>
      <c r="AO23" s="12">
        <v>9</v>
      </c>
      <c r="AP23" s="12">
        <v>8</v>
      </c>
      <c r="AQ23" s="12">
        <v>1</v>
      </c>
      <c r="AR23" s="12" t="s">
        <v>48</v>
      </c>
      <c r="AS23" s="12">
        <v>0</v>
      </c>
      <c r="AT23" s="14">
        <v>0</v>
      </c>
    </row>
    <row r="24" spans="1:46" x14ac:dyDescent="0.3">
      <c r="A24" s="13">
        <v>23</v>
      </c>
      <c r="B24" s="1">
        <v>60</v>
      </c>
      <c r="C24" s="1" t="s">
        <v>14</v>
      </c>
      <c r="D24" s="1" t="s">
        <v>15</v>
      </c>
      <c r="E24" s="2" t="s">
        <v>21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36">
        <v>0</v>
      </c>
      <c r="T24" s="3">
        <v>72.5</v>
      </c>
      <c r="U24" s="1">
        <v>172</v>
      </c>
      <c r="V24" s="4">
        <v>104</v>
      </c>
      <c r="W24" s="4">
        <v>24</v>
      </c>
      <c r="X24" s="1" t="s">
        <v>32</v>
      </c>
      <c r="Y24" s="1">
        <v>1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6">
        <v>14.8</v>
      </c>
      <c r="AG24" s="1" t="s">
        <v>24</v>
      </c>
      <c r="AH24" s="1">
        <v>0</v>
      </c>
      <c r="AI24" s="1">
        <v>0</v>
      </c>
      <c r="AJ24" s="1" t="s">
        <v>19</v>
      </c>
      <c r="AK24" s="1">
        <v>1</v>
      </c>
      <c r="AL24" s="1" t="s">
        <v>25</v>
      </c>
      <c r="AM24" s="1">
        <v>1</v>
      </c>
      <c r="AN24" s="12">
        <v>348687</v>
      </c>
      <c r="AO24" s="12">
        <v>13</v>
      </c>
      <c r="AP24" s="12">
        <v>6</v>
      </c>
      <c r="AQ24" s="12">
        <v>7</v>
      </c>
      <c r="AR24" s="12" t="s">
        <v>47</v>
      </c>
      <c r="AS24" s="12">
        <v>1</v>
      </c>
      <c r="AT24" s="14">
        <v>38000</v>
      </c>
    </row>
    <row r="25" spans="1:46" x14ac:dyDescent="0.3">
      <c r="A25" s="13">
        <v>24</v>
      </c>
      <c r="B25" s="1">
        <v>70</v>
      </c>
      <c r="C25" s="1" t="s">
        <v>14</v>
      </c>
      <c r="D25" s="1" t="s">
        <v>15</v>
      </c>
      <c r="E25" s="2" t="s">
        <v>21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36">
        <v>0</v>
      </c>
      <c r="T25" s="3">
        <v>60</v>
      </c>
      <c r="U25" s="1">
        <v>158</v>
      </c>
      <c r="V25" s="4">
        <v>81</v>
      </c>
      <c r="W25" s="4">
        <v>18</v>
      </c>
      <c r="X25" s="1" t="s">
        <v>32</v>
      </c>
      <c r="Y25" s="1">
        <v>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6">
        <v>11.4</v>
      </c>
      <c r="AG25" s="1" t="s">
        <v>18</v>
      </c>
      <c r="AH25" s="1">
        <v>1</v>
      </c>
      <c r="AI25" s="1">
        <v>0</v>
      </c>
      <c r="AJ25" s="1" t="s">
        <v>19</v>
      </c>
      <c r="AK25" s="1">
        <v>1</v>
      </c>
      <c r="AL25" s="1" t="s">
        <v>20</v>
      </c>
      <c r="AM25" s="1">
        <v>0</v>
      </c>
      <c r="AN25" s="12">
        <v>345590</v>
      </c>
      <c r="AO25" s="12">
        <v>23</v>
      </c>
      <c r="AP25" s="12">
        <v>9</v>
      </c>
      <c r="AQ25" s="12">
        <v>14</v>
      </c>
      <c r="AR25" s="12" t="s">
        <v>48</v>
      </c>
      <c r="AS25" s="12">
        <v>0</v>
      </c>
      <c r="AT25" s="14">
        <v>0</v>
      </c>
    </row>
    <row r="26" spans="1:46" x14ac:dyDescent="0.3">
      <c r="A26" s="13">
        <v>25</v>
      </c>
      <c r="B26" s="1">
        <v>60</v>
      </c>
      <c r="C26" s="1" t="s">
        <v>27</v>
      </c>
      <c r="D26" s="1" t="s">
        <v>15</v>
      </c>
      <c r="E26" s="2" t="s">
        <v>22</v>
      </c>
      <c r="F26" s="2">
        <v>0</v>
      </c>
      <c r="G26" s="2">
        <v>0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36">
        <v>0</v>
      </c>
      <c r="T26" s="3">
        <v>53</v>
      </c>
      <c r="U26" s="1">
        <v>155</v>
      </c>
      <c r="V26" s="4">
        <v>85</v>
      </c>
      <c r="W26" s="4">
        <v>30</v>
      </c>
      <c r="X26" s="1" t="s">
        <v>23</v>
      </c>
      <c r="Y26" s="1">
        <v>0</v>
      </c>
      <c r="Z26" s="1">
        <v>1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6">
        <v>10.3</v>
      </c>
      <c r="AG26" s="1" t="s">
        <v>18</v>
      </c>
      <c r="AH26" s="1">
        <v>1</v>
      </c>
      <c r="AI26" s="1">
        <v>0</v>
      </c>
      <c r="AJ26" s="1" t="s">
        <v>19</v>
      </c>
      <c r="AK26" s="1">
        <v>1</v>
      </c>
      <c r="AL26" s="1" t="s">
        <v>20</v>
      </c>
      <c r="AM26" s="1">
        <v>0</v>
      </c>
      <c r="AN26" s="12">
        <v>361738</v>
      </c>
      <c r="AO26" s="12">
        <v>11</v>
      </c>
      <c r="AP26" s="12">
        <v>11</v>
      </c>
      <c r="AQ26" s="12">
        <v>0</v>
      </c>
      <c r="AR26" s="12" t="s">
        <v>47</v>
      </c>
      <c r="AS26" s="12">
        <v>1</v>
      </c>
      <c r="AT26" s="14">
        <v>38000</v>
      </c>
    </row>
    <row r="27" spans="1:46" x14ac:dyDescent="0.3">
      <c r="A27" s="13">
        <v>26</v>
      </c>
      <c r="B27" s="1">
        <v>88</v>
      </c>
      <c r="C27" s="1" t="s">
        <v>14</v>
      </c>
      <c r="D27" s="1" t="s">
        <v>15</v>
      </c>
      <c r="E27" s="2" t="s">
        <v>22</v>
      </c>
      <c r="F27" s="2">
        <v>0</v>
      </c>
      <c r="G27" s="2">
        <v>0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36">
        <v>0</v>
      </c>
      <c r="T27" s="3">
        <v>62.2</v>
      </c>
      <c r="U27" s="1">
        <v>162</v>
      </c>
      <c r="V27" s="4">
        <v>92</v>
      </c>
      <c r="W27" s="4">
        <v>22</v>
      </c>
      <c r="X27" s="1" t="s">
        <v>26</v>
      </c>
      <c r="Y27" s="1">
        <v>0</v>
      </c>
      <c r="Z27" s="1">
        <v>0</v>
      </c>
      <c r="AA27" s="1">
        <v>1</v>
      </c>
      <c r="AB27" s="1">
        <v>0</v>
      </c>
      <c r="AC27" s="1">
        <v>0</v>
      </c>
      <c r="AD27" s="1">
        <v>0</v>
      </c>
      <c r="AE27" s="1">
        <v>0</v>
      </c>
      <c r="AF27" s="6">
        <v>11.8</v>
      </c>
      <c r="AG27" s="1" t="s">
        <v>18</v>
      </c>
      <c r="AH27" s="1">
        <v>1</v>
      </c>
      <c r="AI27" s="1">
        <v>0</v>
      </c>
      <c r="AJ27" s="1" t="s">
        <v>19</v>
      </c>
      <c r="AK27" s="1">
        <v>1</v>
      </c>
      <c r="AL27" s="1" t="s">
        <v>20</v>
      </c>
      <c r="AM27" s="1">
        <v>0</v>
      </c>
      <c r="AN27" s="12">
        <v>305193</v>
      </c>
      <c r="AO27" s="12">
        <v>16</v>
      </c>
      <c r="AP27" s="12">
        <v>9</v>
      </c>
      <c r="AQ27" s="12">
        <v>7</v>
      </c>
      <c r="AR27" s="12" t="s">
        <v>48</v>
      </c>
      <c r="AS27" s="12">
        <v>0</v>
      </c>
      <c r="AT27" s="14">
        <v>0</v>
      </c>
    </row>
    <row r="28" spans="1:46" x14ac:dyDescent="0.3">
      <c r="A28" s="13">
        <v>27</v>
      </c>
      <c r="B28" s="1">
        <v>15</v>
      </c>
      <c r="C28" s="1" t="s">
        <v>14</v>
      </c>
      <c r="D28" s="1" t="s">
        <v>29</v>
      </c>
      <c r="E28" s="2" t="s">
        <v>28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1</v>
      </c>
      <c r="S28" s="36">
        <v>0</v>
      </c>
      <c r="T28" s="3">
        <v>43.6</v>
      </c>
      <c r="U28" s="1">
        <v>170</v>
      </c>
      <c r="V28" s="4">
        <v>134</v>
      </c>
      <c r="W28" s="4">
        <v>40</v>
      </c>
      <c r="X28" s="35" t="s">
        <v>111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35">
        <v>1</v>
      </c>
      <c r="AF28" s="6">
        <v>9.9</v>
      </c>
      <c r="AG28" s="1" t="s">
        <v>18</v>
      </c>
      <c r="AH28" s="1">
        <v>1</v>
      </c>
      <c r="AI28" s="1">
        <v>0</v>
      </c>
      <c r="AJ28" s="1" t="s">
        <v>19</v>
      </c>
      <c r="AK28" s="1">
        <v>1</v>
      </c>
      <c r="AL28" s="1" t="s">
        <v>20</v>
      </c>
      <c r="AM28" s="1">
        <v>0</v>
      </c>
      <c r="AN28" s="12">
        <v>404644</v>
      </c>
      <c r="AO28" s="12">
        <v>22</v>
      </c>
      <c r="AP28" s="12">
        <v>10</v>
      </c>
      <c r="AQ28" s="12">
        <v>12</v>
      </c>
      <c r="AR28" s="12" t="s">
        <v>47</v>
      </c>
      <c r="AS28" s="12">
        <v>1</v>
      </c>
      <c r="AT28" s="14">
        <v>41800</v>
      </c>
    </row>
    <row r="29" spans="1:46" x14ac:dyDescent="0.3">
      <c r="A29" s="13">
        <v>28</v>
      </c>
      <c r="B29" s="1">
        <v>47</v>
      </c>
      <c r="C29" s="1" t="s">
        <v>14</v>
      </c>
      <c r="D29" s="1" t="s">
        <v>15</v>
      </c>
      <c r="E29" s="2" t="s">
        <v>22</v>
      </c>
      <c r="F29" s="2">
        <v>0</v>
      </c>
      <c r="G29" s="2">
        <v>0</v>
      </c>
      <c r="H29" s="2">
        <v>0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36">
        <v>0</v>
      </c>
      <c r="T29" s="3">
        <v>73.099999999999994</v>
      </c>
      <c r="U29" s="1">
        <v>171</v>
      </c>
      <c r="V29" s="4">
        <v>87</v>
      </c>
      <c r="W29" s="4">
        <v>22</v>
      </c>
      <c r="X29" s="1" t="s">
        <v>23</v>
      </c>
      <c r="Y29" s="1">
        <v>0</v>
      </c>
      <c r="Z29" s="1">
        <v>1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6">
        <v>14.6</v>
      </c>
      <c r="AG29" s="1" t="s">
        <v>18</v>
      </c>
      <c r="AH29" s="1">
        <v>1</v>
      </c>
      <c r="AI29" s="1">
        <v>0</v>
      </c>
      <c r="AJ29" s="1" t="s">
        <v>19</v>
      </c>
      <c r="AK29" s="1">
        <v>1</v>
      </c>
      <c r="AL29" s="1" t="s">
        <v>20</v>
      </c>
      <c r="AM29" s="1">
        <v>0</v>
      </c>
      <c r="AN29" s="12">
        <v>278213.73</v>
      </c>
      <c r="AO29" s="12">
        <v>15</v>
      </c>
      <c r="AP29" s="12">
        <v>6</v>
      </c>
      <c r="AQ29" s="12">
        <v>10</v>
      </c>
      <c r="AR29" s="12" t="s">
        <v>48</v>
      </c>
      <c r="AS29" s="12">
        <v>0</v>
      </c>
      <c r="AT29" s="14">
        <v>0</v>
      </c>
    </row>
    <row r="30" spans="1:46" x14ac:dyDescent="0.3">
      <c r="A30" s="13">
        <v>29</v>
      </c>
      <c r="B30" s="1">
        <v>70</v>
      </c>
      <c r="C30" s="1" t="s">
        <v>14</v>
      </c>
      <c r="D30" s="1" t="s">
        <v>15</v>
      </c>
      <c r="E30" s="2" t="s">
        <v>21</v>
      </c>
      <c r="F30" s="2">
        <v>0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36">
        <v>0</v>
      </c>
      <c r="T30" s="3">
        <v>68</v>
      </c>
      <c r="U30" s="1">
        <v>163</v>
      </c>
      <c r="V30" s="4">
        <v>78</v>
      </c>
      <c r="W30" s="4">
        <v>20</v>
      </c>
      <c r="X30" s="1" t="s">
        <v>26</v>
      </c>
      <c r="Y30" s="1">
        <v>0</v>
      </c>
      <c r="Z30" s="1">
        <v>0</v>
      </c>
      <c r="AA30" s="1">
        <v>1</v>
      </c>
      <c r="AB30" s="1">
        <v>0</v>
      </c>
      <c r="AC30" s="1">
        <v>0</v>
      </c>
      <c r="AD30" s="1">
        <v>0</v>
      </c>
      <c r="AE30" s="1">
        <v>0</v>
      </c>
      <c r="AF30" s="6">
        <v>9</v>
      </c>
      <c r="AG30" s="1" t="s">
        <v>24</v>
      </c>
      <c r="AH30" s="1">
        <v>0</v>
      </c>
      <c r="AI30" s="1">
        <v>0</v>
      </c>
      <c r="AJ30" s="1" t="s">
        <v>19</v>
      </c>
      <c r="AK30" s="1">
        <v>1</v>
      </c>
      <c r="AL30" s="1" t="s">
        <v>25</v>
      </c>
      <c r="AM30" s="1">
        <v>1</v>
      </c>
      <c r="AN30" s="12">
        <v>355276</v>
      </c>
      <c r="AO30" s="12">
        <v>22</v>
      </c>
      <c r="AP30" s="12">
        <v>9</v>
      </c>
      <c r="AQ30" s="12">
        <v>13</v>
      </c>
      <c r="AR30" s="12" t="s">
        <v>48</v>
      </c>
      <c r="AS30" s="12">
        <v>0</v>
      </c>
      <c r="AT30" s="14">
        <v>0</v>
      </c>
    </row>
    <row r="31" spans="1:46" x14ac:dyDescent="0.3">
      <c r="A31" s="13">
        <v>30</v>
      </c>
      <c r="B31" s="1">
        <v>61</v>
      </c>
      <c r="C31" s="1" t="s">
        <v>14</v>
      </c>
      <c r="D31" s="1" t="s">
        <v>15</v>
      </c>
      <c r="E31" s="2" t="s">
        <v>22</v>
      </c>
      <c r="F31" s="2">
        <v>0</v>
      </c>
      <c r="G31" s="2">
        <v>0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36">
        <v>0</v>
      </c>
      <c r="T31" s="3">
        <v>60</v>
      </c>
      <c r="U31" s="1">
        <v>169</v>
      </c>
      <c r="V31" s="4">
        <v>60</v>
      </c>
      <c r="W31" s="4">
        <v>24</v>
      </c>
      <c r="X31" s="35" t="s">
        <v>111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35">
        <v>1</v>
      </c>
      <c r="AF31" s="6">
        <v>12.2</v>
      </c>
      <c r="AG31" s="1" t="s">
        <v>24</v>
      </c>
      <c r="AH31" s="1">
        <v>0</v>
      </c>
      <c r="AI31" s="1">
        <v>0</v>
      </c>
      <c r="AJ31" s="1" t="s">
        <v>19</v>
      </c>
      <c r="AK31" s="1">
        <v>1</v>
      </c>
      <c r="AL31" s="1" t="s">
        <v>25</v>
      </c>
      <c r="AM31" s="1">
        <v>1</v>
      </c>
      <c r="AN31" s="12">
        <v>229289</v>
      </c>
      <c r="AO31" s="12">
        <v>12</v>
      </c>
      <c r="AP31" s="12">
        <v>5</v>
      </c>
      <c r="AQ31" s="12">
        <v>7</v>
      </c>
      <c r="AR31" s="12" t="s">
        <v>48</v>
      </c>
      <c r="AS31" s="12">
        <v>0</v>
      </c>
      <c r="AT31" s="14">
        <v>0</v>
      </c>
    </row>
    <row r="32" spans="1:46" x14ac:dyDescent="0.3">
      <c r="A32" s="13">
        <v>31</v>
      </c>
      <c r="B32" s="1">
        <v>46</v>
      </c>
      <c r="C32" s="1" t="s">
        <v>14</v>
      </c>
      <c r="D32" s="1" t="s">
        <v>15</v>
      </c>
      <c r="E32" s="2" t="s">
        <v>21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36">
        <v>0</v>
      </c>
      <c r="T32" s="3">
        <v>53</v>
      </c>
      <c r="U32" s="1">
        <v>159</v>
      </c>
      <c r="V32" s="4">
        <v>96</v>
      </c>
      <c r="W32" s="4">
        <v>20</v>
      </c>
      <c r="X32" s="1" t="s">
        <v>26</v>
      </c>
      <c r="Y32" s="1">
        <v>0</v>
      </c>
      <c r="Z32" s="1">
        <v>0</v>
      </c>
      <c r="AA32" s="1">
        <v>1</v>
      </c>
      <c r="AB32" s="1">
        <v>0</v>
      </c>
      <c r="AC32" s="1">
        <v>0</v>
      </c>
      <c r="AD32" s="1">
        <v>0</v>
      </c>
      <c r="AE32" s="1">
        <v>0</v>
      </c>
      <c r="AF32" s="6">
        <v>15</v>
      </c>
      <c r="AG32" s="1" t="s">
        <v>24</v>
      </c>
      <c r="AH32" s="1">
        <v>0</v>
      </c>
      <c r="AI32" s="1">
        <v>0</v>
      </c>
      <c r="AJ32" s="1" t="s">
        <v>19</v>
      </c>
      <c r="AK32" s="1">
        <v>1</v>
      </c>
      <c r="AL32" s="1" t="s">
        <v>25</v>
      </c>
      <c r="AM32" s="1">
        <v>1</v>
      </c>
      <c r="AN32" s="12">
        <v>247473</v>
      </c>
      <c r="AO32" s="12">
        <v>15</v>
      </c>
      <c r="AP32" s="12">
        <v>4</v>
      </c>
      <c r="AQ32" s="12">
        <v>11</v>
      </c>
      <c r="AR32" s="12" t="s">
        <v>48</v>
      </c>
      <c r="AS32" s="12">
        <v>0</v>
      </c>
      <c r="AT32" s="14">
        <v>0</v>
      </c>
    </row>
    <row r="33" spans="1:46" x14ac:dyDescent="0.3">
      <c r="A33" s="13">
        <v>32</v>
      </c>
      <c r="B33" s="1">
        <v>56</v>
      </c>
      <c r="C33" s="1" t="s">
        <v>14</v>
      </c>
      <c r="D33" s="1" t="s">
        <v>15</v>
      </c>
      <c r="E33" s="2" t="s">
        <v>33</v>
      </c>
      <c r="F33" s="2">
        <v>0</v>
      </c>
      <c r="G33" s="2">
        <v>0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36">
        <v>0</v>
      </c>
      <c r="T33" s="3">
        <v>61</v>
      </c>
      <c r="U33" s="1">
        <v>163</v>
      </c>
      <c r="V33" s="4">
        <v>73</v>
      </c>
      <c r="W33" s="4">
        <v>24</v>
      </c>
      <c r="X33" s="1" t="s">
        <v>26</v>
      </c>
      <c r="Y33" s="1">
        <v>0</v>
      </c>
      <c r="Z33" s="1">
        <v>0</v>
      </c>
      <c r="AA33" s="1">
        <v>1</v>
      </c>
      <c r="AB33" s="1">
        <v>0</v>
      </c>
      <c r="AC33" s="1">
        <v>0</v>
      </c>
      <c r="AD33" s="1">
        <v>0</v>
      </c>
      <c r="AE33" s="1">
        <v>0</v>
      </c>
      <c r="AF33" s="6">
        <v>16.2</v>
      </c>
      <c r="AG33" s="1" t="s">
        <v>24</v>
      </c>
      <c r="AH33" s="1">
        <v>0</v>
      </c>
      <c r="AI33" s="1">
        <v>0</v>
      </c>
      <c r="AJ33" s="1" t="s">
        <v>19</v>
      </c>
      <c r="AK33" s="1">
        <v>1</v>
      </c>
      <c r="AL33" s="1" t="s">
        <v>25</v>
      </c>
      <c r="AM33" s="1">
        <v>1</v>
      </c>
      <c r="AN33" s="12">
        <v>395163</v>
      </c>
      <c r="AO33" s="12">
        <v>15</v>
      </c>
      <c r="AP33" s="12">
        <v>4</v>
      </c>
      <c r="AQ33" s="12">
        <v>11</v>
      </c>
      <c r="AR33" s="12" t="s">
        <v>47</v>
      </c>
      <c r="AS33" s="12">
        <v>1</v>
      </c>
      <c r="AT33" s="14">
        <v>39690</v>
      </c>
    </row>
    <row r="34" spans="1:46" x14ac:dyDescent="0.3">
      <c r="A34" s="13">
        <v>33</v>
      </c>
      <c r="B34" s="1">
        <v>61</v>
      </c>
      <c r="C34" s="1" t="s">
        <v>14</v>
      </c>
      <c r="D34" s="1" t="s">
        <v>15</v>
      </c>
      <c r="E34" s="2" t="s">
        <v>22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36">
        <v>0</v>
      </c>
      <c r="T34" s="3">
        <v>65</v>
      </c>
      <c r="U34" s="1">
        <v>170</v>
      </c>
      <c r="V34" s="4">
        <v>76</v>
      </c>
      <c r="W34" s="4">
        <v>26</v>
      </c>
      <c r="X34" s="1" t="s">
        <v>26</v>
      </c>
      <c r="Y34" s="1">
        <v>0</v>
      </c>
      <c r="Z34" s="1">
        <v>0</v>
      </c>
      <c r="AA34" s="1">
        <v>1</v>
      </c>
      <c r="AB34" s="1">
        <v>0</v>
      </c>
      <c r="AC34" s="1">
        <v>0</v>
      </c>
      <c r="AD34" s="1">
        <v>0</v>
      </c>
      <c r="AE34" s="1">
        <v>0</v>
      </c>
      <c r="AF34" s="6">
        <v>13.49</v>
      </c>
      <c r="AG34" s="1" t="s">
        <v>18</v>
      </c>
      <c r="AH34" s="1">
        <v>1</v>
      </c>
      <c r="AI34" s="1">
        <v>0</v>
      </c>
      <c r="AJ34" s="1" t="s">
        <v>19</v>
      </c>
      <c r="AK34" s="1">
        <v>1</v>
      </c>
      <c r="AL34" s="1" t="s">
        <v>20</v>
      </c>
      <c r="AM34" s="1">
        <v>0</v>
      </c>
      <c r="AN34" s="12">
        <v>418429</v>
      </c>
      <c r="AO34" s="12">
        <v>12</v>
      </c>
      <c r="AP34" s="12">
        <v>11</v>
      </c>
      <c r="AQ34" s="12">
        <v>1</v>
      </c>
      <c r="AR34" s="12" t="s">
        <v>47</v>
      </c>
      <c r="AS34" s="12">
        <v>1</v>
      </c>
      <c r="AT34" s="14">
        <v>38000</v>
      </c>
    </row>
    <row r="35" spans="1:46" ht="26.4" x14ac:dyDescent="0.3">
      <c r="A35" s="13">
        <v>34</v>
      </c>
      <c r="B35" s="1">
        <v>7</v>
      </c>
      <c r="C35" s="1" t="s">
        <v>14</v>
      </c>
      <c r="D35" s="1" t="s">
        <v>29</v>
      </c>
      <c r="E35" s="2" t="s">
        <v>34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36">
        <v>0</v>
      </c>
      <c r="T35" s="3">
        <v>7</v>
      </c>
      <c r="U35" s="1">
        <v>68</v>
      </c>
      <c r="V35" s="4">
        <v>155</v>
      </c>
      <c r="W35" s="4">
        <v>30</v>
      </c>
      <c r="X35" s="35" t="s">
        <v>111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35">
        <v>1</v>
      </c>
      <c r="AF35" s="6">
        <v>13</v>
      </c>
      <c r="AG35" s="1" t="s">
        <v>24</v>
      </c>
      <c r="AH35" s="1">
        <v>0</v>
      </c>
      <c r="AI35" s="1">
        <v>0</v>
      </c>
      <c r="AJ35" s="1" t="s">
        <v>19</v>
      </c>
      <c r="AK35" s="1">
        <v>1</v>
      </c>
      <c r="AL35" s="1" t="s">
        <v>25</v>
      </c>
      <c r="AM35" s="1">
        <v>1</v>
      </c>
      <c r="AN35" s="12">
        <v>359280</v>
      </c>
      <c r="AO35" s="12">
        <v>22</v>
      </c>
      <c r="AP35" s="12">
        <v>12</v>
      </c>
      <c r="AQ35" s="12">
        <v>10</v>
      </c>
      <c r="AR35" s="12" t="s">
        <v>48</v>
      </c>
      <c r="AS35" s="12">
        <v>0</v>
      </c>
      <c r="AT35" s="14">
        <v>0</v>
      </c>
    </row>
    <row r="36" spans="1:46" x14ac:dyDescent="0.3">
      <c r="A36" s="13">
        <v>35</v>
      </c>
      <c r="B36" s="1">
        <v>70</v>
      </c>
      <c r="C36" s="1" t="s">
        <v>14</v>
      </c>
      <c r="D36" s="1" t="s">
        <v>15</v>
      </c>
      <c r="E36" s="2" t="s">
        <v>16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1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36">
        <v>0</v>
      </c>
      <c r="T36" s="3">
        <v>60</v>
      </c>
      <c r="U36" s="1">
        <v>160</v>
      </c>
      <c r="V36" s="4">
        <v>43</v>
      </c>
      <c r="W36" s="4">
        <v>13</v>
      </c>
      <c r="X36" s="1" t="s">
        <v>26</v>
      </c>
      <c r="Y36" s="1">
        <v>0</v>
      </c>
      <c r="Z36" s="1">
        <v>0</v>
      </c>
      <c r="AA36" s="1">
        <v>1</v>
      </c>
      <c r="AB36" s="1">
        <v>0</v>
      </c>
      <c r="AC36" s="1">
        <v>0</v>
      </c>
      <c r="AD36" s="1">
        <v>0</v>
      </c>
      <c r="AE36" s="1">
        <v>0</v>
      </c>
      <c r="AF36" s="6">
        <v>11.7</v>
      </c>
      <c r="AG36" s="1" t="s">
        <v>18</v>
      </c>
      <c r="AH36" s="1">
        <v>1</v>
      </c>
      <c r="AI36" s="1">
        <v>0</v>
      </c>
      <c r="AJ36" s="1" t="s">
        <v>35</v>
      </c>
      <c r="AK36" s="1">
        <v>0</v>
      </c>
      <c r="AL36" s="1" t="s">
        <v>20</v>
      </c>
      <c r="AM36" s="1">
        <v>0</v>
      </c>
      <c r="AN36" s="12">
        <v>349318</v>
      </c>
      <c r="AO36" s="12">
        <v>11</v>
      </c>
      <c r="AP36" s="12">
        <v>5</v>
      </c>
      <c r="AQ36" s="12">
        <v>6</v>
      </c>
      <c r="AR36" s="12" t="s">
        <v>47</v>
      </c>
      <c r="AS36" s="12">
        <v>1</v>
      </c>
      <c r="AT36" s="14">
        <v>56000</v>
      </c>
    </row>
    <row r="37" spans="1:46" x14ac:dyDescent="0.3">
      <c r="A37" s="13">
        <v>36</v>
      </c>
      <c r="B37" s="6">
        <v>0.83333333333333337</v>
      </c>
      <c r="C37" s="1" t="s">
        <v>14</v>
      </c>
      <c r="D37" s="1" t="s">
        <v>29</v>
      </c>
      <c r="E37" s="2" t="s">
        <v>16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36">
        <v>0</v>
      </c>
      <c r="T37" s="3">
        <v>6</v>
      </c>
      <c r="U37" s="1">
        <v>68</v>
      </c>
      <c r="V37" s="4">
        <v>120</v>
      </c>
      <c r="W37" s="4">
        <v>22</v>
      </c>
      <c r="X37" s="35" t="s">
        <v>111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35">
        <v>1</v>
      </c>
      <c r="AF37" s="6">
        <v>10.4</v>
      </c>
      <c r="AG37" s="1" t="s">
        <v>24</v>
      </c>
      <c r="AH37" s="1">
        <v>0</v>
      </c>
      <c r="AI37" s="1">
        <v>0</v>
      </c>
      <c r="AJ37" s="1" t="s">
        <v>19</v>
      </c>
      <c r="AK37" s="1">
        <v>1</v>
      </c>
      <c r="AL37" s="1" t="s">
        <v>25</v>
      </c>
      <c r="AM37" s="1">
        <v>1</v>
      </c>
      <c r="AN37" s="12">
        <v>551809</v>
      </c>
      <c r="AO37" s="12">
        <v>32</v>
      </c>
      <c r="AP37" s="12">
        <v>30</v>
      </c>
      <c r="AQ37" s="12">
        <v>2</v>
      </c>
      <c r="AR37" s="12" t="s">
        <v>48</v>
      </c>
      <c r="AS37" s="12">
        <v>0</v>
      </c>
      <c r="AT37" s="14">
        <v>0</v>
      </c>
    </row>
    <row r="38" spans="1:46" x14ac:dyDescent="0.3">
      <c r="A38" s="13">
        <v>37</v>
      </c>
      <c r="B38" s="6">
        <v>0.83333333333333337</v>
      </c>
      <c r="C38" s="1" t="s">
        <v>14</v>
      </c>
      <c r="D38" s="1" t="s">
        <v>15</v>
      </c>
      <c r="E38" s="2" t="s">
        <v>22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36">
        <v>0</v>
      </c>
      <c r="T38" s="3">
        <v>78</v>
      </c>
      <c r="U38" s="1">
        <v>173</v>
      </c>
      <c r="V38" s="4">
        <v>82</v>
      </c>
      <c r="W38" s="4">
        <v>24</v>
      </c>
      <c r="X38" s="1" t="s">
        <v>23</v>
      </c>
      <c r="Y38" s="1">
        <v>0</v>
      </c>
      <c r="Z38" s="1">
        <v>1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6">
        <v>13</v>
      </c>
      <c r="AG38" s="1" t="s">
        <v>24</v>
      </c>
      <c r="AH38" s="1">
        <v>0</v>
      </c>
      <c r="AI38" s="1">
        <v>0</v>
      </c>
      <c r="AJ38" s="1" t="s">
        <v>19</v>
      </c>
      <c r="AK38" s="1">
        <v>1</v>
      </c>
      <c r="AL38" s="1" t="s">
        <v>25</v>
      </c>
      <c r="AM38" s="1">
        <v>1</v>
      </c>
      <c r="AN38" s="12">
        <v>293127</v>
      </c>
      <c r="AO38" s="12">
        <v>12</v>
      </c>
      <c r="AP38" s="12">
        <v>5</v>
      </c>
      <c r="AQ38" s="12">
        <v>7</v>
      </c>
      <c r="AR38" s="12" t="s">
        <v>48</v>
      </c>
      <c r="AS38" s="12">
        <v>0</v>
      </c>
      <c r="AT38" s="14">
        <v>0</v>
      </c>
    </row>
    <row r="39" spans="1:46" x14ac:dyDescent="0.3">
      <c r="A39" s="13">
        <v>38</v>
      </c>
      <c r="B39" s="1">
        <v>63</v>
      </c>
      <c r="C39" s="1" t="s">
        <v>27</v>
      </c>
      <c r="D39" s="1" t="s">
        <v>15</v>
      </c>
      <c r="E39" s="2" t="s">
        <v>16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36">
        <v>0</v>
      </c>
      <c r="T39" s="3">
        <v>59</v>
      </c>
      <c r="U39" s="1">
        <v>162</v>
      </c>
      <c r="V39" s="4">
        <v>76</v>
      </c>
      <c r="W39" s="4">
        <v>15</v>
      </c>
      <c r="X39" s="1" t="s">
        <v>30</v>
      </c>
      <c r="Y39" s="1">
        <v>0</v>
      </c>
      <c r="Z39" s="1">
        <v>0</v>
      </c>
      <c r="AA39" s="1">
        <v>0</v>
      </c>
      <c r="AB39" s="1">
        <v>0</v>
      </c>
      <c r="AC39" s="1">
        <v>1</v>
      </c>
      <c r="AD39" s="1">
        <v>0</v>
      </c>
      <c r="AE39" s="1">
        <v>0</v>
      </c>
      <c r="AF39" s="6">
        <v>12</v>
      </c>
      <c r="AG39" s="1" t="s">
        <v>24</v>
      </c>
      <c r="AH39" s="1">
        <v>0</v>
      </c>
      <c r="AI39" s="1">
        <v>0</v>
      </c>
      <c r="AJ39" s="1" t="s">
        <v>19</v>
      </c>
      <c r="AK39" s="1">
        <v>1</v>
      </c>
      <c r="AL39" s="1" t="s">
        <v>25</v>
      </c>
      <c r="AM39" s="1">
        <v>1</v>
      </c>
      <c r="AN39" s="12">
        <v>260036</v>
      </c>
      <c r="AO39" s="12">
        <v>16</v>
      </c>
      <c r="AP39" s="12">
        <v>5</v>
      </c>
      <c r="AQ39" s="12">
        <v>11</v>
      </c>
      <c r="AR39" s="12" t="s">
        <v>48</v>
      </c>
      <c r="AS39" s="12">
        <v>0</v>
      </c>
      <c r="AT39" s="14">
        <v>0</v>
      </c>
    </row>
    <row r="40" spans="1:46" x14ac:dyDescent="0.3">
      <c r="A40" s="13">
        <v>39</v>
      </c>
      <c r="B40" s="1">
        <v>55</v>
      </c>
      <c r="C40" s="1" t="s">
        <v>14</v>
      </c>
      <c r="D40" s="1" t="s">
        <v>15</v>
      </c>
      <c r="E40" s="2" t="s">
        <v>22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36">
        <v>0</v>
      </c>
      <c r="T40" s="3">
        <v>76</v>
      </c>
      <c r="U40" s="1">
        <v>155</v>
      </c>
      <c r="V40" s="4">
        <v>72</v>
      </c>
      <c r="W40" s="4">
        <v>28</v>
      </c>
      <c r="X40" s="1" t="s">
        <v>31</v>
      </c>
      <c r="Y40" s="1">
        <v>0</v>
      </c>
      <c r="Z40" s="1">
        <v>0</v>
      </c>
      <c r="AA40" s="1">
        <v>0</v>
      </c>
      <c r="AB40" s="1">
        <v>1</v>
      </c>
      <c r="AC40" s="1">
        <v>0</v>
      </c>
      <c r="AD40" s="1">
        <v>0</v>
      </c>
      <c r="AE40" s="1">
        <v>0</v>
      </c>
      <c r="AF40" s="6">
        <v>13</v>
      </c>
      <c r="AG40" s="1" t="s">
        <v>24</v>
      </c>
      <c r="AH40" s="1">
        <v>0</v>
      </c>
      <c r="AI40" s="1">
        <v>0</v>
      </c>
      <c r="AJ40" s="1" t="s">
        <v>19</v>
      </c>
      <c r="AK40" s="1">
        <v>1</v>
      </c>
      <c r="AL40" s="1" t="s">
        <v>25</v>
      </c>
      <c r="AM40" s="1">
        <v>1</v>
      </c>
      <c r="AN40" s="12">
        <v>163765</v>
      </c>
      <c r="AO40" s="12">
        <v>10</v>
      </c>
      <c r="AP40" s="12">
        <v>1</v>
      </c>
      <c r="AQ40" s="12">
        <v>9</v>
      </c>
      <c r="AR40" s="12" t="s">
        <v>48</v>
      </c>
      <c r="AS40" s="12">
        <v>0</v>
      </c>
      <c r="AT40" s="14">
        <v>0</v>
      </c>
    </row>
    <row r="41" spans="1:46" x14ac:dyDescent="0.3">
      <c r="A41" s="13">
        <v>40</v>
      </c>
      <c r="B41" s="1">
        <v>67</v>
      </c>
      <c r="C41" s="1" t="s">
        <v>14</v>
      </c>
      <c r="D41" s="1" t="s">
        <v>15</v>
      </c>
      <c r="E41" s="2" t="s">
        <v>110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3">
        <v>57</v>
      </c>
      <c r="U41" s="1">
        <v>167</v>
      </c>
      <c r="V41" s="4">
        <v>90</v>
      </c>
      <c r="W41" s="4">
        <v>24</v>
      </c>
      <c r="X41" s="35" t="s">
        <v>111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35">
        <v>1</v>
      </c>
      <c r="AF41" s="6">
        <v>15</v>
      </c>
      <c r="AG41" s="1" t="s">
        <v>24</v>
      </c>
      <c r="AH41" s="1">
        <v>0</v>
      </c>
      <c r="AI41" s="1">
        <v>0</v>
      </c>
      <c r="AJ41" s="1" t="s">
        <v>19</v>
      </c>
      <c r="AK41" s="1">
        <v>1</v>
      </c>
      <c r="AL41" s="1" t="s">
        <v>25</v>
      </c>
      <c r="AM41" s="1">
        <v>1</v>
      </c>
      <c r="AN41" s="12">
        <v>162364</v>
      </c>
      <c r="AO41" s="12">
        <v>13</v>
      </c>
      <c r="AP41" s="12">
        <v>4</v>
      </c>
      <c r="AQ41" s="12">
        <v>9</v>
      </c>
      <c r="AR41" s="12" t="s">
        <v>48</v>
      </c>
      <c r="AS41" s="12">
        <v>0</v>
      </c>
      <c r="AT41" s="14">
        <v>0</v>
      </c>
    </row>
    <row r="42" spans="1:46" x14ac:dyDescent="0.3">
      <c r="A42" s="13">
        <v>41</v>
      </c>
      <c r="B42" s="1">
        <v>62</v>
      </c>
      <c r="C42" s="1" t="s">
        <v>14</v>
      </c>
      <c r="D42" s="1" t="s">
        <v>15</v>
      </c>
      <c r="E42" s="2" t="s">
        <v>22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36">
        <v>0</v>
      </c>
      <c r="T42" s="3">
        <v>72</v>
      </c>
      <c r="U42" s="1">
        <v>172</v>
      </c>
      <c r="V42" s="4">
        <v>63</v>
      </c>
      <c r="W42" s="4">
        <v>26</v>
      </c>
      <c r="X42" s="35" t="s">
        <v>111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35">
        <v>1</v>
      </c>
      <c r="AF42" s="6">
        <v>13</v>
      </c>
      <c r="AG42" s="1" t="s">
        <v>24</v>
      </c>
      <c r="AH42" s="1">
        <v>0</v>
      </c>
      <c r="AI42" s="1">
        <v>0</v>
      </c>
      <c r="AJ42" s="1" t="s">
        <v>19</v>
      </c>
      <c r="AK42" s="1">
        <v>1</v>
      </c>
      <c r="AL42" s="1" t="s">
        <v>25</v>
      </c>
      <c r="AM42" s="1">
        <v>1</v>
      </c>
      <c r="AN42" s="12">
        <v>144037.23000000001</v>
      </c>
      <c r="AO42" s="12">
        <v>8</v>
      </c>
      <c r="AP42" s="12">
        <v>1</v>
      </c>
      <c r="AQ42" s="12">
        <v>7</v>
      </c>
      <c r="AR42" s="12" t="s">
        <v>48</v>
      </c>
      <c r="AS42" s="12">
        <v>0</v>
      </c>
      <c r="AT42" s="14">
        <v>0</v>
      </c>
    </row>
    <row r="43" spans="1:46" x14ac:dyDescent="0.3">
      <c r="A43" s="13">
        <v>42</v>
      </c>
      <c r="B43" s="1">
        <v>69</v>
      </c>
      <c r="C43" s="1" t="s">
        <v>14</v>
      </c>
      <c r="D43" s="1" t="s">
        <v>15</v>
      </c>
      <c r="E43" s="2" t="s">
        <v>16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1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36">
        <v>0</v>
      </c>
      <c r="T43" s="3">
        <v>73</v>
      </c>
      <c r="U43" s="1">
        <v>160</v>
      </c>
      <c r="V43" s="4">
        <v>67</v>
      </c>
      <c r="W43" s="4">
        <v>29</v>
      </c>
      <c r="X43" s="1" t="s">
        <v>30</v>
      </c>
      <c r="Y43" s="1">
        <v>0</v>
      </c>
      <c r="Z43" s="1">
        <v>0</v>
      </c>
      <c r="AA43" s="1">
        <v>0</v>
      </c>
      <c r="AB43" s="1">
        <v>0</v>
      </c>
      <c r="AC43" s="1">
        <v>1</v>
      </c>
      <c r="AD43" s="1">
        <v>0</v>
      </c>
      <c r="AE43" s="1">
        <v>0</v>
      </c>
      <c r="AF43" s="6">
        <v>12</v>
      </c>
      <c r="AG43" s="1" t="s">
        <v>18</v>
      </c>
      <c r="AH43" s="1">
        <v>1</v>
      </c>
      <c r="AI43" s="1">
        <v>0</v>
      </c>
      <c r="AJ43" s="1" t="s">
        <v>19</v>
      </c>
      <c r="AK43" s="1">
        <v>1</v>
      </c>
      <c r="AL43" s="1" t="s">
        <v>20</v>
      </c>
      <c r="AM43" s="1">
        <v>0</v>
      </c>
      <c r="AN43" s="12">
        <v>183204</v>
      </c>
      <c r="AO43" s="12">
        <v>13</v>
      </c>
      <c r="AP43" s="12">
        <v>6</v>
      </c>
      <c r="AQ43" s="12">
        <v>7</v>
      </c>
      <c r="AR43" s="12" t="s">
        <v>48</v>
      </c>
      <c r="AS43" s="12">
        <v>0</v>
      </c>
      <c r="AT43" s="14">
        <v>0</v>
      </c>
    </row>
    <row r="44" spans="1:46" ht="26.4" x14ac:dyDescent="0.3">
      <c r="A44" s="13">
        <v>43</v>
      </c>
      <c r="B44" s="1">
        <v>67</v>
      </c>
      <c r="C44" s="1" t="s">
        <v>27</v>
      </c>
      <c r="D44" s="1" t="s">
        <v>15</v>
      </c>
      <c r="E44" s="2" t="s">
        <v>34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36">
        <v>0</v>
      </c>
      <c r="T44" s="3">
        <v>59</v>
      </c>
      <c r="U44" s="1">
        <v>138</v>
      </c>
      <c r="V44" s="4">
        <v>88</v>
      </c>
      <c r="W44" s="4">
        <v>28</v>
      </c>
      <c r="X44" s="1" t="s">
        <v>31</v>
      </c>
      <c r="Y44" s="1">
        <v>0</v>
      </c>
      <c r="Z44" s="1">
        <v>0</v>
      </c>
      <c r="AA44" s="1">
        <v>0</v>
      </c>
      <c r="AB44" s="1">
        <v>1</v>
      </c>
      <c r="AC44" s="1">
        <v>0</v>
      </c>
      <c r="AD44" s="1">
        <v>0</v>
      </c>
      <c r="AE44" s="1">
        <v>0</v>
      </c>
      <c r="AF44" s="6">
        <v>10</v>
      </c>
      <c r="AG44" s="1" t="s">
        <v>37</v>
      </c>
      <c r="AH44" s="1">
        <v>0</v>
      </c>
      <c r="AI44" s="1">
        <v>1</v>
      </c>
      <c r="AJ44" s="1" t="s">
        <v>19</v>
      </c>
      <c r="AK44" s="1">
        <v>1</v>
      </c>
      <c r="AL44" s="1" t="s">
        <v>25</v>
      </c>
      <c r="AM44" s="1">
        <v>1</v>
      </c>
      <c r="AN44" s="12">
        <v>164962</v>
      </c>
      <c r="AO44" s="12">
        <v>12</v>
      </c>
      <c r="AP44" s="12">
        <v>2</v>
      </c>
      <c r="AQ44" s="12">
        <v>10</v>
      </c>
      <c r="AR44" s="12" t="s">
        <v>48</v>
      </c>
      <c r="AS44" s="12">
        <v>0</v>
      </c>
      <c r="AT44" s="14">
        <v>0</v>
      </c>
    </row>
    <row r="45" spans="1:46" x14ac:dyDescent="0.3">
      <c r="A45" s="13">
        <v>44</v>
      </c>
      <c r="B45" s="1">
        <v>50</v>
      </c>
      <c r="C45" s="1" t="s">
        <v>14</v>
      </c>
      <c r="D45" s="1" t="s">
        <v>15</v>
      </c>
      <c r="E45" s="2" t="s">
        <v>110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</v>
      </c>
      <c r="T45" s="3">
        <v>65</v>
      </c>
      <c r="U45" s="1">
        <v>155</v>
      </c>
      <c r="V45" s="4">
        <v>59</v>
      </c>
      <c r="W45" s="4">
        <v>20</v>
      </c>
      <c r="X45" s="35" t="s">
        <v>111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35">
        <v>1</v>
      </c>
      <c r="AF45" s="6">
        <v>16</v>
      </c>
      <c r="AG45" s="1" t="s">
        <v>18</v>
      </c>
      <c r="AH45" s="1">
        <v>1</v>
      </c>
      <c r="AI45" s="1">
        <v>0</v>
      </c>
      <c r="AJ45" s="1" t="s">
        <v>19</v>
      </c>
      <c r="AK45" s="1">
        <v>1</v>
      </c>
      <c r="AL45" s="1" t="s">
        <v>20</v>
      </c>
      <c r="AM45" s="1">
        <v>0</v>
      </c>
      <c r="AN45" s="12">
        <v>178100</v>
      </c>
      <c r="AO45" s="12">
        <v>14</v>
      </c>
      <c r="AP45" s="12">
        <v>3</v>
      </c>
      <c r="AQ45" s="12">
        <v>11</v>
      </c>
      <c r="AR45" s="12" t="s">
        <v>48</v>
      </c>
      <c r="AS45" s="12">
        <v>0</v>
      </c>
      <c r="AT45" s="14">
        <v>0</v>
      </c>
    </row>
    <row r="46" spans="1:46" ht="26.4" x14ac:dyDescent="0.3">
      <c r="A46" s="13">
        <v>45</v>
      </c>
      <c r="B46" s="1">
        <v>3</v>
      </c>
      <c r="C46" s="1" t="s">
        <v>14</v>
      </c>
      <c r="D46" s="1" t="s">
        <v>29</v>
      </c>
      <c r="E46" s="2" t="s">
        <v>34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36">
        <v>0</v>
      </c>
      <c r="T46" s="3">
        <v>10</v>
      </c>
      <c r="U46" s="1">
        <v>85</v>
      </c>
      <c r="V46" s="4">
        <v>120</v>
      </c>
      <c r="W46" s="4">
        <v>24</v>
      </c>
      <c r="X46" s="35" t="s">
        <v>111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35">
        <v>1</v>
      </c>
      <c r="AF46" s="6">
        <v>8</v>
      </c>
      <c r="AG46" s="1" t="s">
        <v>24</v>
      </c>
      <c r="AH46" s="1">
        <v>0</v>
      </c>
      <c r="AI46" s="1">
        <v>0</v>
      </c>
      <c r="AJ46" s="1" t="s">
        <v>19</v>
      </c>
      <c r="AK46" s="1">
        <v>1</v>
      </c>
      <c r="AL46" s="1" t="s">
        <v>25</v>
      </c>
      <c r="AM46" s="1">
        <v>1</v>
      </c>
      <c r="AN46" s="12">
        <v>169726.43</v>
      </c>
      <c r="AO46" s="12">
        <v>11</v>
      </c>
      <c r="AP46" s="12">
        <v>2</v>
      </c>
      <c r="AQ46" s="12">
        <v>9</v>
      </c>
      <c r="AR46" s="12" t="s">
        <v>48</v>
      </c>
      <c r="AS46" s="12">
        <v>0</v>
      </c>
      <c r="AT46" s="14">
        <v>0</v>
      </c>
    </row>
    <row r="47" spans="1:46" x14ac:dyDescent="0.3">
      <c r="A47" s="13">
        <v>46</v>
      </c>
      <c r="B47" s="1">
        <v>78</v>
      </c>
      <c r="C47" s="1" t="s">
        <v>14</v>
      </c>
      <c r="D47" s="1" t="s">
        <v>15</v>
      </c>
      <c r="E47" s="2" t="s">
        <v>110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1</v>
      </c>
      <c r="T47" s="3">
        <v>48</v>
      </c>
      <c r="U47" s="1">
        <v>158</v>
      </c>
      <c r="V47" s="4">
        <v>88</v>
      </c>
      <c r="W47" s="4">
        <v>20</v>
      </c>
      <c r="X47" s="1" t="s">
        <v>26</v>
      </c>
      <c r="Y47" s="1">
        <v>0</v>
      </c>
      <c r="Z47" s="1">
        <v>0</v>
      </c>
      <c r="AA47" s="1">
        <v>1</v>
      </c>
      <c r="AB47" s="1">
        <v>0</v>
      </c>
      <c r="AC47" s="1">
        <v>0</v>
      </c>
      <c r="AD47" s="1">
        <v>0</v>
      </c>
      <c r="AE47" s="1">
        <v>0</v>
      </c>
      <c r="AF47" s="6">
        <v>12</v>
      </c>
      <c r="AG47" s="1" t="s">
        <v>24</v>
      </c>
      <c r="AH47" s="1">
        <v>0</v>
      </c>
      <c r="AI47" s="1">
        <v>0</v>
      </c>
      <c r="AJ47" s="1" t="s">
        <v>19</v>
      </c>
      <c r="AK47" s="1">
        <v>1</v>
      </c>
      <c r="AL47" s="1" t="s">
        <v>25</v>
      </c>
      <c r="AM47" s="1">
        <v>1</v>
      </c>
      <c r="AN47" s="12">
        <v>164719</v>
      </c>
      <c r="AO47" s="12">
        <v>11</v>
      </c>
      <c r="AP47" s="12">
        <v>4</v>
      </c>
      <c r="AQ47" s="12">
        <v>7</v>
      </c>
      <c r="AR47" s="12" t="s">
        <v>48</v>
      </c>
      <c r="AS47" s="12">
        <v>0</v>
      </c>
      <c r="AT47" s="14">
        <v>0</v>
      </c>
    </row>
    <row r="48" spans="1:46" x14ac:dyDescent="0.3">
      <c r="A48" s="13">
        <v>47</v>
      </c>
      <c r="B48" s="1">
        <v>39</v>
      </c>
      <c r="C48" s="1" t="s">
        <v>27</v>
      </c>
      <c r="D48" s="1" t="s">
        <v>15</v>
      </c>
      <c r="E48" s="2" t="s">
        <v>110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1</v>
      </c>
      <c r="T48" s="3">
        <v>77</v>
      </c>
      <c r="U48" s="1">
        <v>153</v>
      </c>
      <c r="V48" s="4">
        <v>86</v>
      </c>
      <c r="W48" s="4">
        <v>26</v>
      </c>
      <c r="X48" s="35" t="s">
        <v>111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35">
        <v>1</v>
      </c>
      <c r="AF48" s="6">
        <v>13</v>
      </c>
      <c r="AG48" s="1" t="s">
        <v>24</v>
      </c>
      <c r="AH48" s="1">
        <v>0</v>
      </c>
      <c r="AI48" s="1">
        <v>0</v>
      </c>
      <c r="AJ48" s="1" t="s">
        <v>19</v>
      </c>
      <c r="AK48" s="1">
        <v>1</v>
      </c>
      <c r="AL48" s="1" t="s">
        <v>25</v>
      </c>
      <c r="AM48" s="1">
        <v>1</v>
      </c>
      <c r="AN48" s="12">
        <v>133130</v>
      </c>
      <c r="AO48" s="12">
        <v>8</v>
      </c>
      <c r="AP48" s="12">
        <v>2</v>
      </c>
      <c r="AQ48" s="12">
        <v>6</v>
      </c>
      <c r="AR48" s="12" t="s">
        <v>48</v>
      </c>
      <c r="AS48" s="12">
        <v>0</v>
      </c>
      <c r="AT48" s="14">
        <v>0</v>
      </c>
    </row>
    <row r="49" spans="1:46" x14ac:dyDescent="0.3">
      <c r="A49" s="13">
        <v>48</v>
      </c>
      <c r="B49" s="1">
        <v>64</v>
      </c>
      <c r="C49" s="1" t="s">
        <v>14</v>
      </c>
      <c r="D49" s="1" t="s">
        <v>15</v>
      </c>
      <c r="E49" s="2" t="s">
        <v>110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1</v>
      </c>
      <c r="T49" s="3">
        <v>68</v>
      </c>
      <c r="U49" s="1">
        <v>162</v>
      </c>
      <c r="V49" s="4">
        <v>60</v>
      </c>
      <c r="W49" s="4">
        <v>24</v>
      </c>
      <c r="X49" s="1" t="s">
        <v>26</v>
      </c>
      <c r="Y49" s="1">
        <v>0</v>
      </c>
      <c r="Z49" s="1">
        <v>0</v>
      </c>
      <c r="AA49" s="1">
        <v>1</v>
      </c>
      <c r="AB49" s="1">
        <v>0</v>
      </c>
      <c r="AC49" s="1">
        <v>0</v>
      </c>
      <c r="AD49" s="1">
        <v>0</v>
      </c>
      <c r="AE49" s="1">
        <v>0</v>
      </c>
      <c r="AF49" s="6">
        <v>14</v>
      </c>
      <c r="AG49" s="1" t="s">
        <v>24</v>
      </c>
      <c r="AH49" s="1">
        <v>0</v>
      </c>
      <c r="AI49" s="1">
        <v>0</v>
      </c>
      <c r="AJ49" s="1" t="s">
        <v>19</v>
      </c>
      <c r="AK49" s="1">
        <v>1</v>
      </c>
      <c r="AL49" s="1" t="s">
        <v>25</v>
      </c>
      <c r="AM49" s="1">
        <v>1</v>
      </c>
      <c r="AN49" s="12">
        <v>146308.6</v>
      </c>
      <c r="AO49" s="12">
        <v>9</v>
      </c>
      <c r="AP49" s="12">
        <v>2</v>
      </c>
      <c r="AQ49" s="12">
        <v>7</v>
      </c>
      <c r="AR49" s="12" t="s">
        <v>48</v>
      </c>
      <c r="AS49" s="12">
        <v>0</v>
      </c>
      <c r="AT49" s="14">
        <v>0</v>
      </c>
    </row>
    <row r="50" spans="1:46" x14ac:dyDescent="0.3">
      <c r="A50" s="13">
        <v>49</v>
      </c>
      <c r="B50" s="1">
        <v>53</v>
      </c>
      <c r="C50" s="1" t="s">
        <v>14</v>
      </c>
      <c r="D50" s="1" t="s">
        <v>15</v>
      </c>
      <c r="E50" s="2" t="s">
        <v>110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1</v>
      </c>
      <c r="T50" s="3">
        <v>55</v>
      </c>
      <c r="U50" s="1">
        <v>156</v>
      </c>
      <c r="V50" s="4">
        <v>80</v>
      </c>
      <c r="W50" s="4">
        <v>20</v>
      </c>
      <c r="X50" s="1" t="s">
        <v>30</v>
      </c>
      <c r="Y50" s="1">
        <v>0</v>
      </c>
      <c r="Z50" s="1">
        <v>0</v>
      </c>
      <c r="AA50" s="1">
        <v>0</v>
      </c>
      <c r="AB50" s="1">
        <v>0</v>
      </c>
      <c r="AC50" s="1">
        <v>1</v>
      </c>
      <c r="AD50" s="1">
        <v>0</v>
      </c>
      <c r="AE50" s="1">
        <v>0</v>
      </c>
      <c r="AF50" s="6">
        <v>13</v>
      </c>
      <c r="AG50" s="1" t="s">
        <v>24</v>
      </c>
      <c r="AH50" s="1">
        <v>0</v>
      </c>
      <c r="AI50" s="1">
        <v>0</v>
      </c>
      <c r="AJ50" s="1" t="s">
        <v>19</v>
      </c>
      <c r="AK50" s="1">
        <v>1</v>
      </c>
      <c r="AL50" s="1" t="s">
        <v>25</v>
      </c>
      <c r="AM50" s="1">
        <v>1</v>
      </c>
      <c r="AN50" s="12">
        <v>134497.65</v>
      </c>
      <c r="AO50" s="12">
        <v>8</v>
      </c>
      <c r="AP50" s="12">
        <v>2</v>
      </c>
      <c r="AQ50" s="12">
        <v>6</v>
      </c>
      <c r="AR50" s="12" t="s">
        <v>48</v>
      </c>
      <c r="AS50" s="12">
        <v>0</v>
      </c>
      <c r="AT50" s="14">
        <v>0</v>
      </c>
    </row>
    <row r="51" spans="1:46" x14ac:dyDescent="0.3">
      <c r="A51" s="13">
        <v>50</v>
      </c>
      <c r="B51" s="1">
        <v>1</v>
      </c>
      <c r="C51" s="1" t="s">
        <v>14</v>
      </c>
      <c r="D51" s="1" t="s">
        <v>29</v>
      </c>
      <c r="E51" s="2" t="s">
        <v>38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0</v>
      </c>
      <c r="Q51" s="2">
        <v>0</v>
      </c>
      <c r="R51" s="2">
        <v>0</v>
      </c>
      <c r="S51" s="36">
        <v>0</v>
      </c>
      <c r="T51" s="3">
        <v>5</v>
      </c>
      <c r="U51" s="1">
        <v>66</v>
      </c>
      <c r="V51" s="4">
        <v>100</v>
      </c>
      <c r="W51" s="4">
        <v>24</v>
      </c>
      <c r="X51" s="35" t="s">
        <v>111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35">
        <v>1</v>
      </c>
      <c r="AF51" s="6">
        <v>10</v>
      </c>
      <c r="AG51" s="1" t="s">
        <v>24</v>
      </c>
      <c r="AH51" s="1">
        <v>0</v>
      </c>
      <c r="AI51" s="1">
        <v>0</v>
      </c>
      <c r="AJ51" s="1" t="s">
        <v>19</v>
      </c>
      <c r="AK51" s="1">
        <v>1</v>
      </c>
      <c r="AL51" s="1" t="s">
        <v>25</v>
      </c>
      <c r="AM51" s="1">
        <v>1</v>
      </c>
      <c r="AN51" s="12">
        <v>206500.95</v>
      </c>
      <c r="AO51" s="12">
        <v>15</v>
      </c>
      <c r="AP51" s="12">
        <v>6</v>
      </c>
      <c r="AQ51" s="12">
        <v>9</v>
      </c>
      <c r="AR51" s="12" t="s">
        <v>48</v>
      </c>
      <c r="AS51" s="12">
        <v>0</v>
      </c>
      <c r="AT51" s="14">
        <v>0</v>
      </c>
    </row>
    <row r="52" spans="1:46" x14ac:dyDescent="0.3">
      <c r="A52" s="13">
        <v>51</v>
      </c>
      <c r="B52" s="1">
        <v>55</v>
      </c>
      <c r="C52" s="1" t="s">
        <v>14</v>
      </c>
      <c r="D52" s="1" t="s">
        <v>15</v>
      </c>
      <c r="E52" s="2" t="s">
        <v>110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1</v>
      </c>
      <c r="T52" s="3">
        <v>78</v>
      </c>
      <c r="U52" s="1">
        <v>163</v>
      </c>
      <c r="V52" s="4">
        <v>100</v>
      </c>
      <c r="W52" s="4">
        <v>22</v>
      </c>
      <c r="X52" s="35" t="s">
        <v>111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35">
        <v>1</v>
      </c>
      <c r="AF52" s="6">
        <v>15</v>
      </c>
      <c r="AG52" s="1" t="s">
        <v>24</v>
      </c>
      <c r="AH52" s="1">
        <v>0</v>
      </c>
      <c r="AI52" s="1">
        <v>0</v>
      </c>
      <c r="AJ52" s="1" t="s">
        <v>19</v>
      </c>
      <c r="AK52" s="1">
        <v>1</v>
      </c>
      <c r="AL52" s="1" t="s">
        <v>25</v>
      </c>
      <c r="AM52" s="1">
        <v>1</v>
      </c>
      <c r="AN52" s="12">
        <v>120131</v>
      </c>
      <c r="AO52" s="12">
        <v>8</v>
      </c>
      <c r="AP52" s="12">
        <v>1</v>
      </c>
      <c r="AQ52" s="12">
        <v>7</v>
      </c>
      <c r="AR52" s="12" t="s">
        <v>48</v>
      </c>
      <c r="AS52" s="12">
        <v>0</v>
      </c>
      <c r="AT52" s="14">
        <v>0</v>
      </c>
    </row>
    <row r="53" spans="1:46" ht="26.4" x14ac:dyDescent="0.3">
      <c r="A53" s="13">
        <v>52</v>
      </c>
      <c r="B53" s="1">
        <v>56</v>
      </c>
      <c r="C53" s="1" t="s">
        <v>14</v>
      </c>
      <c r="D53" s="1" t="s">
        <v>15</v>
      </c>
      <c r="E53" s="2" t="s">
        <v>110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1</v>
      </c>
      <c r="T53" s="3">
        <v>56</v>
      </c>
      <c r="U53" s="1">
        <v>162</v>
      </c>
      <c r="V53" s="4">
        <v>82</v>
      </c>
      <c r="W53" s="4">
        <v>24</v>
      </c>
      <c r="X53" s="1" t="s">
        <v>31</v>
      </c>
      <c r="Y53" s="1">
        <v>0</v>
      </c>
      <c r="Z53" s="1">
        <v>0</v>
      </c>
      <c r="AA53" s="1">
        <v>0</v>
      </c>
      <c r="AB53" s="1">
        <v>1</v>
      </c>
      <c r="AC53" s="1">
        <v>0</v>
      </c>
      <c r="AD53" s="1">
        <v>0</v>
      </c>
      <c r="AE53" s="1">
        <v>0</v>
      </c>
      <c r="AF53" s="6">
        <v>10</v>
      </c>
      <c r="AG53" s="1" t="s">
        <v>37</v>
      </c>
      <c r="AH53" s="1">
        <v>0</v>
      </c>
      <c r="AI53" s="1">
        <v>1</v>
      </c>
      <c r="AJ53" s="1" t="s">
        <v>19</v>
      </c>
      <c r="AK53" s="1">
        <v>1</v>
      </c>
      <c r="AL53" s="1" t="s">
        <v>25</v>
      </c>
      <c r="AM53" s="1">
        <v>1</v>
      </c>
      <c r="AN53" s="12">
        <v>176340.75</v>
      </c>
      <c r="AO53" s="12">
        <v>14</v>
      </c>
      <c r="AP53" s="12">
        <v>2</v>
      </c>
      <c r="AQ53" s="12">
        <v>12</v>
      </c>
      <c r="AR53" s="12" t="s">
        <v>48</v>
      </c>
      <c r="AS53" s="12">
        <v>0</v>
      </c>
      <c r="AT53" s="14">
        <v>0</v>
      </c>
    </row>
    <row r="54" spans="1:46" x14ac:dyDescent="0.3">
      <c r="A54" s="13">
        <v>53</v>
      </c>
      <c r="B54" s="1">
        <v>71</v>
      </c>
      <c r="C54" s="1" t="s">
        <v>14</v>
      </c>
      <c r="D54" s="1" t="s">
        <v>15</v>
      </c>
      <c r="E54" s="2" t="s">
        <v>21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36">
        <v>0</v>
      </c>
      <c r="T54" s="3">
        <v>56</v>
      </c>
      <c r="U54" s="1">
        <v>160</v>
      </c>
      <c r="V54" s="4">
        <v>72</v>
      </c>
      <c r="W54" s="4">
        <v>20</v>
      </c>
      <c r="X54" s="1" t="s">
        <v>26</v>
      </c>
      <c r="Y54" s="1">
        <v>0</v>
      </c>
      <c r="Z54" s="1">
        <v>0</v>
      </c>
      <c r="AA54" s="1">
        <v>1</v>
      </c>
      <c r="AB54" s="1">
        <v>0</v>
      </c>
      <c r="AC54" s="1">
        <v>0</v>
      </c>
      <c r="AD54" s="1">
        <v>0</v>
      </c>
      <c r="AE54" s="1">
        <v>0</v>
      </c>
      <c r="AF54" s="6">
        <v>13</v>
      </c>
      <c r="AG54" s="1" t="s">
        <v>24</v>
      </c>
      <c r="AH54" s="1">
        <v>0</v>
      </c>
      <c r="AI54" s="1">
        <v>0</v>
      </c>
      <c r="AJ54" s="1" t="s">
        <v>19</v>
      </c>
      <c r="AK54" s="1">
        <v>1</v>
      </c>
      <c r="AL54" s="1" t="s">
        <v>25</v>
      </c>
      <c r="AM54" s="1">
        <v>1</v>
      </c>
      <c r="AN54" s="12">
        <v>138923</v>
      </c>
      <c r="AO54" s="12">
        <v>9</v>
      </c>
      <c r="AP54" s="12">
        <v>2</v>
      </c>
      <c r="AQ54" s="12">
        <v>7</v>
      </c>
      <c r="AR54" s="12" t="s">
        <v>48</v>
      </c>
      <c r="AS54" s="12">
        <v>0</v>
      </c>
      <c r="AT54" s="14">
        <v>0</v>
      </c>
    </row>
    <row r="55" spans="1:46" x14ac:dyDescent="0.3">
      <c r="A55" s="13">
        <v>54</v>
      </c>
      <c r="B55" s="1">
        <v>48</v>
      </c>
      <c r="C55" s="1" t="s">
        <v>14</v>
      </c>
      <c r="D55" s="1" t="s">
        <v>15</v>
      </c>
      <c r="E55" s="2" t="s">
        <v>110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1</v>
      </c>
      <c r="T55" s="3">
        <v>64</v>
      </c>
      <c r="U55" s="1">
        <v>158</v>
      </c>
      <c r="V55" s="4">
        <v>74</v>
      </c>
      <c r="W55" s="4">
        <v>22</v>
      </c>
      <c r="X55" s="1" t="s">
        <v>31</v>
      </c>
      <c r="Y55" s="1">
        <v>0</v>
      </c>
      <c r="Z55" s="1">
        <v>0</v>
      </c>
      <c r="AA55" s="1">
        <v>0</v>
      </c>
      <c r="AB55" s="1">
        <v>1</v>
      </c>
      <c r="AC55" s="1">
        <v>0</v>
      </c>
      <c r="AD55" s="1">
        <v>0</v>
      </c>
      <c r="AE55" s="1">
        <v>0</v>
      </c>
      <c r="AF55" s="6">
        <v>12</v>
      </c>
      <c r="AG55" s="1" t="s">
        <v>24</v>
      </c>
      <c r="AH55" s="1">
        <v>0</v>
      </c>
      <c r="AI55" s="1">
        <v>0</v>
      </c>
      <c r="AJ55" s="1" t="s">
        <v>19</v>
      </c>
      <c r="AK55" s="1">
        <v>1</v>
      </c>
      <c r="AL55" s="1" t="s">
        <v>25</v>
      </c>
      <c r="AM55" s="1">
        <v>1</v>
      </c>
      <c r="AN55" s="12">
        <v>162957.32</v>
      </c>
      <c r="AO55" s="12">
        <v>9</v>
      </c>
      <c r="AP55" s="12">
        <v>2</v>
      </c>
      <c r="AQ55" s="12">
        <v>7</v>
      </c>
      <c r="AR55" s="12" t="s">
        <v>48</v>
      </c>
      <c r="AS55" s="12">
        <v>0</v>
      </c>
      <c r="AT55" s="14">
        <v>0</v>
      </c>
    </row>
    <row r="56" spans="1:46" x14ac:dyDescent="0.3">
      <c r="A56" s="13">
        <v>55</v>
      </c>
      <c r="B56" s="1">
        <v>53</v>
      </c>
      <c r="C56" s="1" t="s">
        <v>14</v>
      </c>
      <c r="D56" s="1" t="s">
        <v>15</v>
      </c>
      <c r="E56" s="2" t="s">
        <v>110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1</v>
      </c>
      <c r="T56" s="3">
        <v>59</v>
      </c>
      <c r="U56" s="1">
        <v>159</v>
      </c>
      <c r="V56" s="4">
        <v>68</v>
      </c>
      <c r="W56" s="4">
        <v>16</v>
      </c>
      <c r="X56" s="1" t="s">
        <v>30</v>
      </c>
      <c r="Y56" s="1">
        <v>0</v>
      </c>
      <c r="Z56" s="1">
        <v>0</v>
      </c>
      <c r="AA56" s="1">
        <v>0</v>
      </c>
      <c r="AB56" s="1">
        <v>0</v>
      </c>
      <c r="AC56" s="1">
        <v>1</v>
      </c>
      <c r="AD56" s="1">
        <v>0</v>
      </c>
      <c r="AE56" s="1">
        <v>0</v>
      </c>
      <c r="AF56" s="6">
        <v>14</v>
      </c>
      <c r="AG56" s="1" t="s">
        <v>24</v>
      </c>
      <c r="AH56" s="1">
        <v>0</v>
      </c>
      <c r="AI56" s="1">
        <v>0</v>
      </c>
      <c r="AJ56" s="1" t="s">
        <v>19</v>
      </c>
      <c r="AK56" s="1">
        <v>1</v>
      </c>
      <c r="AL56" s="1" t="s">
        <v>25</v>
      </c>
      <c r="AM56" s="1">
        <v>1</v>
      </c>
      <c r="AN56" s="12">
        <v>133009</v>
      </c>
      <c r="AO56" s="12">
        <v>9</v>
      </c>
      <c r="AP56" s="12">
        <v>2</v>
      </c>
      <c r="AQ56" s="12">
        <v>7</v>
      </c>
      <c r="AR56" s="12" t="s">
        <v>48</v>
      </c>
      <c r="AS56" s="12">
        <v>0</v>
      </c>
      <c r="AT56" s="14">
        <v>0</v>
      </c>
    </row>
    <row r="57" spans="1:46" x14ac:dyDescent="0.3">
      <c r="A57" s="13">
        <v>56</v>
      </c>
      <c r="B57" s="1">
        <v>69</v>
      </c>
      <c r="C57" s="1" t="s">
        <v>14</v>
      </c>
      <c r="D57" s="1" t="s">
        <v>15</v>
      </c>
      <c r="E57" s="2" t="s">
        <v>110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1</v>
      </c>
      <c r="T57" s="3">
        <v>56</v>
      </c>
      <c r="U57" s="1">
        <v>166</v>
      </c>
      <c r="V57" s="4">
        <v>84</v>
      </c>
      <c r="W57" s="4">
        <v>24</v>
      </c>
      <c r="X57" s="1" t="s">
        <v>39</v>
      </c>
      <c r="Y57" s="1">
        <v>0</v>
      </c>
      <c r="Z57" s="1">
        <v>0</v>
      </c>
      <c r="AA57" s="1">
        <v>1</v>
      </c>
      <c r="AB57" s="1">
        <v>0</v>
      </c>
      <c r="AC57" s="1">
        <v>0</v>
      </c>
      <c r="AD57" s="1">
        <v>0</v>
      </c>
      <c r="AE57" s="1">
        <v>0</v>
      </c>
      <c r="AF57" s="6">
        <v>8</v>
      </c>
      <c r="AG57" s="1" t="s">
        <v>24</v>
      </c>
      <c r="AH57" s="1">
        <v>0</v>
      </c>
      <c r="AI57" s="1">
        <v>0</v>
      </c>
      <c r="AJ57" s="1" t="s">
        <v>19</v>
      </c>
      <c r="AK57" s="1">
        <v>1</v>
      </c>
      <c r="AL57" s="1" t="s">
        <v>25</v>
      </c>
      <c r="AM57" s="1">
        <v>1</v>
      </c>
      <c r="AN57" s="12">
        <v>163483</v>
      </c>
      <c r="AO57" s="12">
        <v>9</v>
      </c>
      <c r="AP57" s="12">
        <v>2</v>
      </c>
      <c r="AQ57" s="12">
        <v>7</v>
      </c>
      <c r="AR57" s="12" t="s">
        <v>48</v>
      </c>
      <c r="AS57" s="12">
        <v>0</v>
      </c>
      <c r="AT57" s="14">
        <v>0</v>
      </c>
    </row>
    <row r="58" spans="1:46" x14ac:dyDescent="0.3">
      <c r="A58" s="13">
        <v>57</v>
      </c>
      <c r="B58" s="1">
        <v>25</v>
      </c>
      <c r="C58" s="1" t="s">
        <v>14</v>
      </c>
      <c r="D58" s="1" t="s">
        <v>15</v>
      </c>
      <c r="E58" s="2" t="s">
        <v>16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36">
        <v>0</v>
      </c>
      <c r="T58" s="3">
        <v>47</v>
      </c>
      <c r="U58" s="1">
        <v>170</v>
      </c>
      <c r="V58" s="4">
        <v>78</v>
      </c>
      <c r="W58" s="4">
        <v>24</v>
      </c>
      <c r="X58" s="35" t="s">
        <v>111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35">
        <v>1</v>
      </c>
      <c r="AF58" s="6">
        <v>16</v>
      </c>
      <c r="AG58" s="1" t="s">
        <v>24</v>
      </c>
      <c r="AH58" s="1">
        <v>0</v>
      </c>
      <c r="AI58" s="1">
        <v>0</v>
      </c>
      <c r="AJ58" s="1" t="s">
        <v>19</v>
      </c>
      <c r="AK58" s="1">
        <v>1</v>
      </c>
      <c r="AL58" s="1" t="s">
        <v>25</v>
      </c>
      <c r="AM58" s="1">
        <v>1</v>
      </c>
      <c r="AN58" s="12">
        <v>131837</v>
      </c>
      <c r="AO58" s="12">
        <v>7</v>
      </c>
      <c r="AP58" s="12">
        <v>1</v>
      </c>
      <c r="AQ58" s="12">
        <v>6</v>
      </c>
      <c r="AR58" s="12" t="s">
        <v>48</v>
      </c>
      <c r="AS58" s="12">
        <v>0</v>
      </c>
      <c r="AT58" s="14">
        <v>0</v>
      </c>
    </row>
    <row r="59" spans="1:46" x14ac:dyDescent="0.3">
      <c r="A59" s="13">
        <v>58</v>
      </c>
      <c r="B59" s="1">
        <v>10</v>
      </c>
      <c r="C59" s="1" t="s">
        <v>14</v>
      </c>
      <c r="D59" s="1" t="s">
        <v>29</v>
      </c>
      <c r="E59" s="2" t="s">
        <v>110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</v>
      </c>
      <c r="T59" s="3">
        <v>6</v>
      </c>
      <c r="U59" s="1">
        <v>64</v>
      </c>
      <c r="V59" s="4">
        <v>96</v>
      </c>
      <c r="W59" s="4">
        <v>26</v>
      </c>
      <c r="X59" s="1" t="s">
        <v>40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1</v>
      </c>
      <c r="AE59" s="1">
        <v>0</v>
      </c>
      <c r="AF59" s="6">
        <v>12</v>
      </c>
      <c r="AG59" s="1" t="s">
        <v>24</v>
      </c>
      <c r="AH59" s="1">
        <v>0</v>
      </c>
      <c r="AI59" s="1">
        <v>0</v>
      </c>
      <c r="AJ59" s="1" t="s">
        <v>19</v>
      </c>
      <c r="AK59" s="1">
        <v>1</v>
      </c>
      <c r="AL59" s="1" t="s">
        <v>25</v>
      </c>
      <c r="AM59" s="1">
        <v>1</v>
      </c>
      <c r="AN59" s="12">
        <v>163372</v>
      </c>
      <c r="AO59" s="12">
        <v>13</v>
      </c>
      <c r="AP59" s="12">
        <v>3</v>
      </c>
      <c r="AQ59" s="12">
        <v>10</v>
      </c>
      <c r="AR59" s="12" t="s">
        <v>48</v>
      </c>
      <c r="AS59" s="12">
        <v>0</v>
      </c>
      <c r="AT59" s="14">
        <v>0</v>
      </c>
    </row>
    <row r="60" spans="1:46" x14ac:dyDescent="0.3">
      <c r="A60" s="13">
        <v>59</v>
      </c>
      <c r="B60" s="1">
        <v>12</v>
      </c>
      <c r="C60" s="1" t="s">
        <v>27</v>
      </c>
      <c r="D60" s="1" t="s">
        <v>29</v>
      </c>
      <c r="E60" s="2" t="s">
        <v>110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</v>
      </c>
      <c r="T60" s="3">
        <v>32</v>
      </c>
      <c r="U60" s="1">
        <v>149</v>
      </c>
      <c r="V60" s="4">
        <v>82</v>
      </c>
      <c r="W60" s="4">
        <v>24</v>
      </c>
      <c r="X60" s="35" t="s">
        <v>111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35">
        <v>1</v>
      </c>
      <c r="AF60" s="6">
        <v>9</v>
      </c>
      <c r="AG60" s="1" t="s">
        <v>24</v>
      </c>
      <c r="AH60" s="1">
        <v>0</v>
      </c>
      <c r="AI60" s="1">
        <v>0</v>
      </c>
      <c r="AJ60" s="1" t="s">
        <v>19</v>
      </c>
      <c r="AK60" s="1">
        <v>1</v>
      </c>
      <c r="AL60" s="1" t="s">
        <v>25</v>
      </c>
      <c r="AM60" s="1">
        <v>1</v>
      </c>
      <c r="AN60" s="12">
        <v>128104.37</v>
      </c>
      <c r="AO60" s="12">
        <v>6</v>
      </c>
      <c r="AP60" s="12">
        <v>2</v>
      </c>
      <c r="AQ60" s="12">
        <v>4</v>
      </c>
      <c r="AR60" s="12" t="s">
        <v>48</v>
      </c>
      <c r="AS60" s="12">
        <v>0</v>
      </c>
      <c r="AT60" s="14">
        <v>0</v>
      </c>
    </row>
    <row r="61" spans="1:46" x14ac:dyDescent="0.3">
      <c r="A61" s="13">
        <v>60</v>
      </c>
      <c r="B61" s="1">
        <v>10</v>
      </c>
      <c r="C61" s="1" t="s">
        <v>27</v>
      </c>
      <c r="D61" s="1" t="s">
        <v>29</v>
      </c>
      <c r="E61" s="2" t="s">
        <v>110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1</v>
      </c>
      <c r="T61" s="3">
        <v>23</v>
      </c>
      <c r="U61" s="1">
        <v>137</v>
      </c>
      <c r="V61" s="4">
        <v>90</v>
      </c>
      <c r="W61" s="4">
        <v>22</v>
      </c>
      <c r="X61" s="35" t="s">
        <v>111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35">
        <v>1</v>
      </c>
      <c r="AF61" s="6">
        <v>11</v>
      </c>
      <c r="AG61" s="1" t="s">
        <v>24</v>
      </c>
      <c r="AH61" s="1">
        <v>0</v>
      </c>
      <c r="AI61" s="1">
        <v>0</v>
      </c>
      <c r="AJ61" s="1" t="s">
        <v>19</v>
      </c>
      <c r="AK61" s="1">
        <v>1</v>
      </c>
      <c r="AL61" s="1" t="s">
        <v>25</v>
      </c>
      <c r="AM61" s="1">
        <v>1</v>
      </c>
      <c r="AN61" s="12">
        <v>115908</v>
      </c>
      <c r="AO61" s="12">
        <v>9</v>
      </c>
      <c r="AP61" s="12">
        <v>1</v>
      </c>
      <c r="AQ61" s="12">
        <v>8</v>
      </c>
      <c r="AR61" s="12" t="s">
        <v>48</v>
      </c>
      <c r="AS61" s="12">
        <v>0</v>
      </c>
      <c r="AT61" s="14">
        <v>0</v>
      </c>
    </row>
    <row r="62" spans="1:46" x14ac:dyDescent="0.3">
      <c r="A62" s="13">
        <v>61</v>
      </c>
      <c r="B62" s="1">
        <v>14</v>
      </c>
      <c r="C62" s="1" t="s">
        <v>27</v>
      </c>
      <c r="D62" s="1" t="s">
        <v>29</v>
      </c>
      <c r="E62" s="2" t="s">
        <v>110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1</v>
      </c>
      <c r="T62" s="3">
        <v>49</v>
      </c>
      <c r="U62" s="1">
        <v>149</v>
      </c>
      <c r="V62" s="4">
        <v>111</v>
      </c>
      <c r="W62" s="4">
        <v>26</v>
      </c>
      <c r="X62" s="35" t="s">
        <v>111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35">
        <v>1</v>
      </c>
      <c r="AF62" s="6">
        <v>12</v>
      </c>
      <c r="AG62" s="1" t="s">
        <v>24</v>
      </c>
      <c r="AH62" s="1">
        <v>0</v>
      </c>
      <c r="AI62" s="1">
        <v>0</v>
      </c>
      <c r="AJ62" s="1" t="s">
        <v>19</v>
      </c>
      <c r="AK62" s="1">
        <v>1</v>
      </c>
      <c r="AL62" s="1" t="s">
        <v>25</v>
      </c>
      <c r="AM62" s="1">
        <v>1</v>
      </c>
      <c r="AN62" s="12">
        <v>129474.64</v>
      </c>
      <c r="AO62" s="12">
        <v>7</v>
      </c>
      <c r="AP62" s="12">
        <v>3</v>
      </c>
      <c r="AQ62" s="12">
        <v>4</v>
      </c>
      <c r="AR62" s="12" t="s">
        <v>48</v>
      </c>
      <c r="AS62" s="12">
        <v>0</v>
      </c>
      <c r="AT62" s="14">
        <v>0</v>
      </c>
    </row>
    <row r="63" spans="1:46" x14ac:dyDescent="0.3">
      <c r="A63" s="13">
        <v>62</v>
      </c>
      <c r="B63" s="1">
        <v>7</v>
      </c>
      <c r="C63" s="1" t="s">
        <v>14</v>
      </c>
      <c r="D63" s="1" t="s">
        <v>29</v>
      </c>
      <c r="E63" s="2" t="s">
        <v>110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1</v>
      </c>
      <c r="T63" s="3">
        <v>19</v>
      </c>
      <c r="U63" s="1">
        <v>107</v>
      </c>
      <c r="V63" s="4">
        <v>100</v>
      </c>
      <c r="W63" s="4">
        <v>26</v>
      </c>
      <c r="X63" s="35" t="s">
        <v>111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35">
        <v>1</v>
      </c>
      <c r="AF63" s="6">
        <v>14</v>
      </c>
      <c r="AG63" s="1" t="s">
        <v>24</v>
      </c>
      <c r="AH63" s="1">
        <v>0</v>
      </c>
      <c r="AI63" s="1">
        <v>0</v>
      </c>
      <c r="AJ63" s="1" t="s">
        <v>19</v>
      </c>
      <c r="AK63" s="1">
        <v>1</v>
      </c>
      <c r="AL63" s="1" t="s">
        <v>25</v>
      </c>
      <c r="AM63" s="1">
        <v>1</v>
      </c>
      <c r="AN63" s="12">
        <v>152184</v>
      </c>
      <c r="AO63" s="12">
        <v>10</v>
      </c>
      <c r="AP63" s="12">
        <v>2</v>
      </c>
      <c r="AQ63" s="12">
        <v>8</v>
      </c>
      <c r="AR63" s="12" t="s">
        <v>48</v>
      </c>
      <c r="AS63" s="12">
        <v>0</v>
      </c>
      <c r="AT63" s="14">
        <v>0</v>
      </c>
    </row>
    <row r="64" spans="1:46" x14ac:dyDescent="0.3">
      <c r="A64" s="13">
        <v>63</v>
      </c>
      <c r="B64" s="1">
        <v>13</v>
      </c>
      <c r="C64" s="1" t="s">
        <v>14</v>
      </c>
      <c r="D64" s="1" t="s">
        <v>29</v>
      </c>
      <c r="E64" s="2" t="s">
        <v>110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1</v>
      </c>
      <c r="T64" s="3">
        <v>22</v>
      </c>
      <c r="U64" s="1">
        <v>133</v>
      </c>
      <c r="V64" s="4">
        <v>90</v>
      </c>
      <c r="W64" s="4">
        <v>32</v>
      </c>
      <c r="X64" s="35" t="s">
        <v>111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35">
        <v>1</v>
      </c>
      <c r="AF64" s="6">
        <v>11</v>
      </c>
      <c r="AG64" s="1" t="s">
        <v>24</v>
      </c>
      <c r="AH64" s="1">
        <v>0</v>
      </c>
      <c r="AI64" s="1">
        <v>0</v>
      </c>
      <c r="AJ64" s="1" t="s">
        <v>19</v>
      </c>
      <c r="AK64" s="1">
        <v>1</v>
      </c>
      <c r="AL64" s="1" t="s">
        <v>25</v>
      </c>
      <c r="AM64" s="1">
        <v>1</v>
      </c>
      <c r="AN64" s="12">
        <v>122892</v>
      </c>
      <c r="AO64" s="12">
        <v>9</v>
      </c>
      <c r="AP64" s="12">
        <v>1</v>
      </c>
      <c r="AQ64" s="12">
        <v>8</v>
      </c>
      <c r="AR64" s="12" t="s">
        <v>48</v>
      </c>
      <c r="AS64" s="12">
        <v>0</v>
      </c>
      <c r="AT64" s="14">
        <v>0</v>
      </c>
    </row>
    <row r="65" spans="1:46" x14ac:dyDescent="0.3">
      <c r="A65" s="13">
        <v>64</v>
      </c>
      <c r="B65" s="1">
        <v>12</v>
      </c>
      <c r="C65" s="1" t="s">
        <v>27</v>
      </c>
      <c r="D65" s="1" t="s">
        <v>29</v>
      </c>
      <c r="E65" s="2" t="s">
        <v>16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36">
        <v>0</v>
      </c>
      <c r="T65" s="3">
        <v>35</v>
      </c>
      <c r="U65" s="1">
        <v>140</v>
      </c>
      <c r="V65" s="4">
        <v>102</v>
      </c>
      <c r="W65" s="4">
        <v>26</v>
      </c>
      <c r="X65" s="35" t="s">
        <v>111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35">
        <v>1</v>
      </c>
      <c r="AF65" s="6">
        <v>13</v>
      </c>
      <c r="AG65" s="1" t="s">
        <v>24</v>
      </c>
      <c r="AH65" s="1">
        <v>0</v>
      </c>
      <c r="AI65" s="1">
        <v>0</v>
      </c>
      <c r="AJ65" s="1" t="s">
        <v>19</v>
      </c>
      <c r="AK65" s="1">
        <v>1</v>
      </c>
      <c r="AL65" s="1" t="s">
        <v>25</v>
      </c>
      <c r="AM65" s="1">
        <v>1</v>
      </c>
      <c r="AN65" s="12">
        <v>124804</v>
      </c>
      <c r="AO65" s="12">
        <v>9</v>
      </c>
      <c r="AP65" s="12">
        <v>1</v>
      </c>
      <c r="AQ65" s="12">
        <v>8</v>
      </c>
      <c r="AR65" s="12" t="s">
        <v>48</v>
      </c>
      <c r="AS65" s="12">
        <v>0</v>
      </c>
      <c r="AT65" s="14">
        <v>0</v>
      </c>
    </row>
    <row r="66" spans="1:46" x14ac:dyDescent="0.3">
      <c r="A66" s="13">
        <v>65</v>
      </c>
      <c r="B66" s="1">
        <v>11</v>
      </c>
      <c r="C66" s="1" t="s">
        <v>14</v>
      </c>
      <c r="D66" s="1" t="s">
        <v>29</v>
      </c>
      <c r="E66" s="2" t="s">
        <v>110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  <c r="T66" s="3">
        <v>26</v>
      </c>
      <c r="U66" s="1">
        <v>140</v>
      </c>
      <c r="V66" s="4">
        <v>90</v>
      </c>
      <c r="W66" s="4">
        <v>20</v>
      </c>
      <c r="X66" s="35" t="s">
        <v>111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35">
        <v>1</v>
      </c>
      <c r="AF66" s="6">
        <v>12</v>
      </c>
      <c r="AG66" s="1" t="s">
        <v>24</v>
      </c>
      <c r="AH66" s="1">
        <v>0</v>
      </c>
      <c r="AI66" s="1">
        <v>0</v>
      </c>
      <c r="AJ66" s="1" t="s">
        <v>19</v>
      </c>
      <c r="AK66" s="1">
        <v>1</v>
      </c>
      <c r="AL66" s="1" t="s">
        <v>25</v>
      </c>
      <c r="AM66" s="1">
        <v>1</v>
      </c>
      <c r="AN66" s="12">
        <v>142552</v>
      </c>
      <c r="AO66" s="12">
        <v>8</v>
      </c>
      <c r="AP66" s="12">
        <v>1</v>
      </c>
      <c r="AQ66" s="12">
        <v>7</v>
      </c>
      <c r="AR66" s="12" t="s">
        <v>48</v>
      </c>
      <c r="AS66" s="12">
        <v>0</v>
      </c>
      <c r="AT66" s="14">
        <v>0</v>
      </c>
    </row>
    <row r="67" spans="1:46" ht="26.4" x14ac:dyDescent="0.3">
      <c r="A67" s="13">
        <v>66</v>
      </c>
      <c r="B67" s="1">
        <v>5</v>
      </c>
      <c r="C67" s="1" t="s">
        <v>14</v>
      </c>
      <c r="D67" s="1" t="s">
        <v>29</v>
      </c>
      <c r="E67" s="2" t="s">
        <v>34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36">
        <v>0</v>
      </c>
      <c r="T67" s="3">
        <v>15</v>
      </c>
      <c r="U67" s="1">
        <v>105</v>
      </c>
      <c r="V67" s="4">
        <v>115</v>
      </c>
      <c r="W67" s="4">
        <v>26</v>
      </c>
      <c r="X67" s="35" t="s">
        <v>111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35">
        <v>1</v>
      </c>
      <c r="AF67" s="6">
        <v>10</v>
      </c>
      <c r="AG67" s="1" t="s">
        <v>24</v>
      </c>
      <c r="AH67" s="1">
        <v>0</v>
      </c>
      <c r="AI67" s="1">
        <v>0</v>
      </c>
      <c r="AJ67" s="1" t="s">
        <v>19</v>
      </c>
      <c r="AK67" s="1">
        <v>1</v>
      </c>
      <c r="AL67" s="1" t="s">
        <v>25</v>
      </c>
      <c r="AM67" s="1">
        <v>1</v>
      </c>
      <c r="AN67" s="12">
        <v>128196</v>
      </c>
      <c r="AO67" s="12">
        <v>7</v>
      </c>
      <c r="AP67" s="12">
        <v>1</v>
      </c>
      <c r="AQ67" s="12">
        <v>6</v>
      </c>
      <c r="AR67" s="12" t="s">
        <v>48</v>
      </c>
      <c r="AS67" s="12">
        <v>0</v>
      </c>
      <c r="AT67" s="14">
        <v>0</v>
      </c>
    </row>
    <row r="68" spans="1:46" x14ac:dyDescent="0.3">
      <c r="A68" s="13">
        <v>67</v>
      </c>
      <c r="B68" s="1">
        <v>33</v>
      </c>
      <c r="C68" s="1" t="s">
        <v>27</v>
      </c>
      <c r="D68" s="1" t="s">
        <v>15</v>
      </c>
      <c r="E68" s="2" t="s">
        <v>110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1</v>
      </c>
      <c r="T68" s="3">
        <v>63</v>
      </c>
      <c r="U68" s="1">
        <v>147</v>
      </c>
      <c r="V68" s="4">
        <v>68</v>
      </c>
      <c r="W68" s="4">
        <v>24</v>
      </c>
      <c r="X68" s="35" t="s">
        <v>111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35">
        <v>1</v>
      </c>
      <c r="AF68" s="6">
        <v>13</v>
      </c>
      <c r="AG68" s="1" t="s">
        <v>18</v>
      </c>
      <c r="AH68" s="1">
        <v>1</v>
      </c>
      <c r="AI68" s="1">
        <v>0</v>
      </c>
      <c r="AJ68" s="1" t="s">
        <v>19</v>
      </c>
      <c r="AK68" s="1">
        <v>1</v>
      </c>
      <c r="AL68" s="1" t="s">
        <v>20</v>
      </c>
      <c r="AM68" s="1">
        <v>0</v>
      </c>
      <c r="AN68" s="12">
        <v>109085.84</v>
      </c>
      <c r="AO68" s="12">
        <v>8</v>
      </c>
      <c r="AP68" s="12">
        <v>1</v>
      </c>
      <c r="AQ68" s="12">
        <v>7</v>
      </c>
      <c r="AR68" s="12" t="s">
        <v>48</v>
      </c>
      <c r="AS68" s="12">
        <v>0</v>
      </c>
      <c r="AT68" s="14">
        <v>0</v>
      </c>
    </row>
    <row r="69" spans="1:46" x14ac:dyDescent="0.3">
      <c r="A69" s="13">
        <v>68</v>
      </c>
      <c r="B69" s="1">
        <v>21</v>
      </c>
      <c r="C69" s="1" t="s">
        <v>27</v>
      </c>
      <c r="D69" s="1" t="s">
        <v>29</v>
      </c>
      <c r="E69" s="2" t="s">
        <v>110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1</v>
      </c>
      <c r="T69" s="3">
        <v>51</v>
      </c>
      <c r="U69" s="1">
        <v>153</v>
      </c>
      <c r="V69" s="4">
        <v>74</v>
      </c>
      <c r="W69" s="4">
        <v>24</v>
      </c>
      <c r="X69" s="35" t="s">
        <v>111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35">
        <v>1</v>
      </c>
      <c r="AF69" s="6">
        <v>12</v>
      </c>
      <c r="AG69" s="1" t="s">
        <v>24</v>
      </c>
      <c r="AH69" s="1">
        <v>0</v>
      </c>
      <c r="AI69" s="1">
        <v>0</v>
      </c>
      <c r="AJ69" s="1" t="s">
        <v>19</v>
      </c>
      <c r="AK69" s="1">
        <v>1</v>
      </c>
      <c r="AL69" s="1" t="s">
        <v>25</v>
      </c>
      <c r="AM69" s="1">
        <v>1</v>
      </c>
      <c r="AN69" s="12">
        <v>109452</v>
      </c>
      <c r="AO69" s="12">
        <v>6</v>
      </c>
      <c r="AP69" s="12">
        <v>1</v>
      </c>
      <c r="AQ69" s="12">
        <v>5</v>
      </c>
      <c r="AR69" s="12" t="s">
        <v>48</v>
      </c>
      <c r="AS69" s="12">
        <v>0</v>
      </c>
      <c r="AT69" s="14">
        <v>0</v>
      </c>
    </row>
    <row r="70" spans="1:46" ht="26.4" x14ac:dyDescent="0.3">
      <c r="A70" s="13">
        <v>69</v>
      </c>
      <c r="B70" s="1">
        <v>3</v>
      </c>
      <c r="C70" s="1" t="s">
        <v>14</v>
      </c>
      <c r="D70" s="1" t="s">
        <v>29</v>
      </c>
      <c r="E70" s="2" t="s">
        <v>34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36">
        <v>0</v>
      </c>
      <c r="T70" s="3">
        <v>13</v>
      </c>
      <c r="U70" s="1">
        <v>85</v>
      </c>
      <c r="V70" s="4">
        <v>120</v>
      </c>
      <c r="W70" s="4">
        <v>24</v>
      </c>
      <c r="X70" s="35" t="s">
        <v>111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35">
        <v>1</v>
      </c>
      <c r="AF70" s="6">
        <v>12</v>
      </c>
      <c r="AG70" s="1" t="s">
        <v>24</v>
      </c>
      <c r="AH70" s="1">
        <v>0</v>
      </c>
      <c r="AI70" s="1">
        <v>0</v>
      </c>
      <c r="AJ70" s="1" t="s">
        <v>19</v>
      </c>
      <c r="AK70" s="1">
        <v>1</v>
      </c>
      <c r="AL70" s="1" t="s">
        <v>25</v>
      </c>
      <c r="AM70" s="1">
        <v>1</v>
      </c>
      <c r="AN70" s="12">
        <v>125643</v>
      </c>
      <c r="AO70" s="12">
        <v>9</v>
      </c>
      <c r="AP70" s="12">
        <v>1</v>
      </c>
      <c r="AQ70" s="12">
        <v>8</v>
      </c>
      <c r="AR70" s="12" t="s">
        <v>48</v>
      </c>
      <c r="AS70" s="12">
        <v>0</v>
      </c>
      <c r="AT70" s="14">
        <v>0</v>
      </c>
    </row>
    <row r="71" spans="1:46" x14ac:dyDescent="0.3">
      <c r="A71" s="13">
        <v>70</v>
      </c>
      <c r="B71" s="1">
        <v>12</v>
      </c>
      <c r="C71" s="1" t="s">
        <v>14</v>
      </c>
      <c r="D71" s="1" t="s">
        <v>29</v>
      </c>
      <c r="E71" s="2" t="s">
        <v>110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1</v>
      </c>
      <c r="T71" s="3">
        <v>25</v>
      </c>
      <c r="U71" s="1">
        <v>134</v>
      </c>
      <c r="V71" s="4">
        <v>92</v>
      </c>
      <c r="W71" s="4">
        <v>24</v>
      </c>
      <c r="X71" s="35" t="s">
        <v>111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35">
        <v>1</v>
      </c>
      <c r="AF71" s="6">
        <v>11</v>
      </c>
      <c r="AG71" s="1" t="s">
        <v>24</v>
      </c>
      <c r="AH71" s="1">
        <v>0</v>
      </c>
      <c r="AI71" s="1">
        <v>0</v>
      </c>
      <c r="AJ71" s="1" t="s">
        <v>19</v>
      </c>
      <c r="AK71" s="1">
        <v>1</v>
      </c>
      <c r="AL71" s="1" t="s">
        <v>25</v>
      </c>
      <c r="AM71" s="1">
        <v>1</v>
      </c>
      <c r="AN71" s="12">
        <v>120064</v>
      </c>
      <c r="AO71" s="12">
        <v>6</v>
      </c>
      <c r="AP71" s="12">
        <v>1</v>
      </c>
      <c r="AQ71" s="12">
        <v>5</v>
      </c>
      <c r="AR71" s="12" t="s">
        <v>48</v>
      </c>
      <c r="AS71" s="12">
        <v>0</v>
      </c>
      <c r="AT71" s="14">
        <v>0</v>
      </c>
    </row>
    <row r="72" spans="1:46" x14ac:dyDescent="0.3">
      <c r="A72" s="13">
        <v>71</v>
      </c>
      <c r="B72" s="1">
        <v>12</v>
      </c>
      <c r="C72" s="1" t="s">
        <v>14</v>
      </c>
      <c r="D72" s="1" t="s">
        <v>29</v>
      </c>
      <c r="E72" s="2" t="s">
        <v>110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</v>
      </c>
      <c r="T72" s="3">
        <v>27</v>
      </c>
      <c r="U72" s="1">
        <v>144</v>
      </c>
      <c r="V72" s="4">
        <v>72</v>
      </c>
      <c r="W72" s="4">
        <v>22</v>
      </c>
      <c r="X72" s="35" t="s">
        <v>111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35">
        <v>1</v>
      </c>
      <c r="AF72" s="6">
        <v>12</v>
      </c>
      <c r="AG72" s="1" t="s">
        <v>24</v>
      </c>
      <c r="AH72" s="1">
        <v>0</v>
      </c>
      <c r="AI72" s="1">
        <v>0</v>
      </c>
      <c r="AJ72" s="1" t="s">
        <v>19</v>
      </c>
      <c r="AK72" s="1">
        <v>1</v>
      </c>
      <c r="AL72" s="1" t="s">
        <v>25</v>
      </c>
      <c r="AM72" s="1">
        <v>1</v>
      </c>
      <c r="AN72" s="12">
        <v>114580</v>
      </c>
      <c r="AO72" s="12">
        <v>7</v>
      </c>
      <c r="AP72" s="12">
        <v>1</v>
      </c>
      <c r="AQ72" s="12">
        <v>6</v>
      </c>
      <c r="AR72" s="12" t="s">
        <v>48</v>
      </c>
      <c r="AS72" s="12">
        <v>0</v>
      </c>
      <c r="AT72" s="14">
        <v>0</v>
      </c>
    </row>
    <row r="73" spans="1:46" ht="26.4" x14ac:dyDescent="0.3">
      <c r="A73" s="13">
        <v>72</v>
      </c>
      <c r="B73" s="1">
        <v>5</v>
      </c>
      <c r="C73" s="1" t="s">
        <v>27</v>
      </c>
      <c r="D73" s="1" t="s">
        <v>29</v>
      </c>
      <c r="E73" s="2" t="s">
        <v>34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36">
        <v>0</v>
      </c>
      <c r="T73" s="3">
        <v>15</v>
      </c>
      <c r="U73" s="1">
        <v>117</v>
      </c>
      <c r="V73" s="4">
        <v>80</v>
      </c>
      <c r="W73" s="4">
        <v>24</v>
      </c>
      <c r="X73" s="35" t="s">
        <v>111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35">
        <v>1</v>
      </c>
      <c r="AF73" s="6">
        <v>11</v>
      </c>
      <c r="AG73" s="1" t="s">
        <v>24</v>
      </c>
      <c r="AH73" s="1">
        <v>0</v>
      </c>
      <c r="AI73" s="1">
        <v>0</v>
      </c>
      <c r="AJ73" s="1" t="s">
        <v>19</v>
      </c>
      <c r="AK73" s="1">
        <v>1</v>
      </c>
      <c r="AL73" s="1" t="s">
        <v>25</v>
      </c>
      <c r="AM73" s="1">
        <v>1</v>
      </c>
      <c r="AN73" s="12">
        <v>119935.36</v>
      </c>
      <c r="AO73" s="12">
        <v>7</v>
      </c>
      <c r="AP73" s="12">
        <v>1</v>
      </c>
      <c r="AQ73" s="12">
        <v>6</v>
      </c>
      <c r="AR73" s="12" t="s">
        <v>48</v>
      </c>
      <c r="AS73" s="12">
        <v>0</v>
      </c>
      <c r="AT73" s="14">
        <v>0</v>
      </c>
    </row>
    <row r="74" spans="1:46" x14ac:dyDescent="0.3">
      <c r="A74" s="13">
        <v>73</v>
      </c>
      <c r="B74" s="1">
        <v>14</v>
      </c>
      <c r="C74" s="1" t="s">
        <v>27</v>
      </c>
      <c r="D74" s="1" t="s">
        <v>29</v>
      </c>
      <c r="E74" s="2" t="s">
        <v>110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</v>
      </c>
      <c r="T74" s="3">
        <v>49</v>
      </c>
      <c r="U74" s="1">
        <v>149</v>
      </c>
      <c r="V74" s="4">
        <v>111</v>
      </c>
      <c r="W74" s="4">
        <v>26</v>
      </c>
      <c r="X74" s="35" t="s">
        <v>111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35">
        <v>1</v>
      </c>
      <c r="AF74" s="6">
        <v>12</v>
      </c>
      <c r="AG74" s="1" t="s">
        <v>24</v>
      </c>
      <c r="AH74" s="1">
        <v>0</v>
      </c>
      <c r="AI74" s="1">
        <v>0</v>
      </c>
      <c r="AJ74" s="1" t="s">
        <v>19</v>
      </c>
      <c r="AK74" s="1">
        <v>1</v>
      </c>
      <c r="AL74" s="1" t="s">
        <v>25</v>
      </c>
      <c r="AM74" s="1">
        <v>1</v>
      </c>
      <c r="AN74" s="12">
        <v>129474.64</v>
      </c>
      <c r="AO74" s="12">
        <v>7</v>
      </c>
      <c r="AP74" s="12">
        <v>3</v>
      </c>
      <c r="AQ74" s="12">
        <v>4</v>
      </c>
      <c r="AR74" s="12" t="s">
        <v>48</v>
      </c>
      <c r="AS74" s="12">
        <v>0</v>
      </c>
      <c r="AT74" s="14">
        <v>0</v>
      </c>
    </row>
    <row r="75" spans="1:46" x14ac:dyDescent="0.3">
      <c r="A75" s="13">
        <v>74</v>
      </c>
      <c r="B75" s="1">
        <v>7</v>
      </c>
      <c r="C75" s="1" t="s">
        <v>14</v>
      </c>
      <c r="D75" s="1" t="s">
        <v>29</v>
      </c>
      <c r="E75" s="2" t="s">
        <v>110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</v>
      </c>
      <c r="T75" s="3">
        <v>19</v>
      </c>
      <c r="U75" s="1">
        <v>107</v>
      </c>
      <c r="V75" s="4">
        <v>100</v>
      </c>
      <c r="W75" s="4">
        <v>26</v>
      </c>
      <c r="X75" s="35" t="s">
        <v>111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35">
        <v>1</v>
      </c>
      <c r="AF75" s="6">
        <v>14</v>
      </c>
      <c r="AG75" s="1" t="s">
        <v>24</v>
      </c>
      <c r="AH75" s="1">
        <v>0</v>
      </c>
      <c r="AI75" s="1">
        <v>0</v>
      </c>
      <c r="AJ75" s="1" t="s">
        <v>19</v>
      </c>
      <c r="AK75" s="1">
        <v>1</v>
      </c>
      <c r="AL75" s="1" t="s">
        <v>25</v>
      </c>
      <c r="AM75" s="1">
        <v>1</v>
      </c>
      <c r="AN75" s="12">
        <v>152184</v>
      </c>
      <c r="AO75" s="12">
        <v>10</v>
      </c>
      <c r="AP75" s="12">
        <v>2</v>
      </c>
      <c r="AQ75" s="12">
        <v>8</v>
      </c>
      <c r="AR75" s="12" t="s">
        <v>48</v>
      </c>
      <c r="AS75" s="12">
        <v>0</v>
      </c>
      <c r="AT75" s="14">
        <v>0</v>
      </c>
    </row>
    <row r="76" spans="1:46" x14ac:dyDescent="0.3">
      <c r="A76" s="13">
        <v>75</v>
      </c>
      <c r="B76" s="1">
        <v>13</v>
      </c>
      <c r="C76" s="1" t="s">
        <v>14</v>
      </c>
      <c r="D76" s="1" t="s">
        <v>29</v>
      </c>
      <c r="E76" s="2" t="s">
        <v>110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</v>
      </c>
      <c r="T76" s="3">
        <v>22</v>
      </c>
      <c r="U76" s="1">
        <v>133</v>
      </c>
      <c r="V76" s="4">
        <v>90</v>
      </c>
      <c r="W76" s="4">
        <v>32</v>
      </c>
      <c r="X76" s="35" t="s">
        <v>111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35">
        <v>1</v>
      </c>
      <c r="AF76" s="6">
        <v>11</v>
      </c>
      <c r="AG76" s="1" t="s">
        <v>24</v>
      </c>
      <c r="AH76" s="1">
        <v>0</v>
      </c>
      <c r="AI76" s="1">
        <v>0</v>
      </c>
      <c r="AJ76" s="1" t="s">
        <v>19</v>
      </c>
      <c r="AK76" s="1">
        <v>1</v>
      </c>
      <c r="AL76" s="1" t="s">
        <v>25</v>
      </c>
      <c r="AM76" s="1">
        <v>1</v>
      </c>
      <c r="AN76" s="12">
        <v>122892</v>
      </c>
      <c r="AO76" s="12">
        <v>9</v>
      </c>
      <c r="AP76" s="12">
        <v>1</v>
      </c>
      <c r="AQ76" s="12">
        <v>8</v>
      </c>
      <c r="AR76" s="12" t="s">
        <v>48</v>
      </c>
      <c r="AS76" s="12">
        <v>0</v>
      </c>
      <c r="AT76" s="14">
        <v>0</v>
      </c>
    </row>
    <row r="77" spans="1:46" ht="26.4" x14ac:dyDescent="0.3">
      <c r="A77" s="13">
        <v>76</v>
      </c>
      <c r="B77" s="1">
        <v>5</v>
      </c>
      <c r="C77" s="1" t="s">
        <v>14</v>
      </c>
      <c r="D77" s="1" t="s">
        <v>29</v>
      </c>
      <c r="E77" s="2" t="s">
        <v>34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36">
        <v>0</v>
      </c>
      <c r="T77" s="3">
        <v>15</v>
      </c>
      <c r="U77" s="1">
        <v>105</v>
      </c>
      <c r="V77" s="4">
        <v>115</v>
      </c>
      <c r="W77" s="4">
        <v>26</v>
      </c>
      <c r="X77" s="35" t="s">
        <v>111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35">
        <v>1</v>
      </c>
      <c r="AF77" s="6">
        <v>10</v>
      </c>
      <c r="AG77" s="1" t="s">
        <v>24</v>
      </c>
      <c r="AH77" s="1">
        <v>0</v>
      </c>
      <c r="AI77" s="1">
        <v>0</v>
      </c>
      <c r="AJ77" s="1" t="s">
        <v>19</v>
      </c>
      <c r="AK77" s="1">
        <v>1</v>
      </c>
      <c r="AL77" s="1" t="s">
        <v>25</v>
      </c>
      <c r="AM77" s="1">
        <v>1</v>
      </c>
      <c r="AN77" s="12">
        <v>128196</v>
      </c>
      <c r="AO77" s="12">
        <v>7</v>
      </c>
      <c r="AP77" s="12">
        <v>1</v>
      </c>
      <c r="AQ77" s="12">
        <v>6</v>
      </c>
      <c r="AR77" s="12" t="s">
        <v>48</v>
      </c>
      <c r="AS77" s="12">
        <v>0</v>
      </c>
      <c r="AT77" s="14">
        <v>0</v>
      </c>
    </row>
    <row r="78" spans="1:46" x14ac:dyDescent="0.3">
      <c r="A78" s="13">
        <v>77</v>
      </c>
      <c r="B78" s="1">
        <v>33</v>
      </c>
      <c r="C78" s="1" t="s">
        <v>27</v>
      </c>
      <c r="D78" s="1" t="s">
        <v>15</v>
      </c>
      <c r="E78" s="2" t="s">
        <v>110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1</v>
      </c>
      <c r="T78" s="3">
        <v>63</v>
      </c>
      <c r="U78" s="1">
        <v>147</v>
      </c>
      <c r="V78" s="4">
        <v>68</v>
      </c>
      <c r="W78" s="4">
        <v>24</v>
      </c>
      <c r="X78" s="35" t="s">
        <v>111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35">
        <v>1</v>
      </c>
      <c r="AF78" s="6">
        <v>13</v>
      </c>
      <c r="AG78" s="1" t="s">
        <v>18</v>
      </c>
      <c r="AH78" s="1">
        <v>1</v>
      </c>
      <c r="AI78" s="1">
        <v>0</v>
      </c>
      <c r="AJ78" s="1" t="s">
        <v>19</v>
      </c>
      <c r="AK78" s="1">
        <v>1</v>
      </c>
      <c r="AL78" s="1" t="s">
        <v>20</v>
      </c>
      <c r="AM78" s="1">
        <v>0</v>
      </c>
      <c r="AN78" s="12">
        <v>109085.84</v>
      </c>
      <c r="AO78" s="12">
        <v>8</v>
      </c>
      <c r="AP78" s="12">
        <v>1</v>
      </c>
      <c r="AQ78" s="12">
        <v>7</v>
      </c>
      <c r="AR78" s="12" t="s">
        <v>48</v>
      </c>
      <c r="AS78" s="12">
        <v>0</v>
      </c>
      <c r="AT78" s="14">
        <v>0</v>
      </c>
    </row>
    <row r="79" spans="1:46" ht="26.4" x14ac:dyDescent="0.3">
      <c r="A79" s="13">
        <v>78</v>
      </c>
      <c r="B79" s="1">
        <v>3</v>
      </c>
      <c r="C79" s="1" t="s">
        <v>14</v>
      </c>
      <c r="D79" s="1" t="s">
        <v>29</v>
      </c>
      <c r="E79" s="2" t="s">
        <v>34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36">
        <v>0</v>
      </c>
      <c r="T79" s="3">
        <v>13</v>
      </c>
      <c r="U79" s="1">
        <v>84</v>
      </c>
      <c r="V79" s="4">
        <v>120</v>
      </c>
      <c r="W79" s="4">
        <v>24</v>
      </c>
      <c r="X79" s="35" t="s">
        <v>111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35">
        <v>1</v>
      </c>
      <c r="AF79" s="6">
        <v>12</v>
      </c>
      <c r="AG79" s="1" t="s">
        <v>24</v>
      </c>
      <c r="AH79" s="1">
        <v>0</v>
      </c>
      <c r="AI79" s="1">
        <v>0</v>
      </c>
      <c r="AJ79" s="1" t="s">
        <v>19</v>
      </c>
      <c r="AK79" s="1">
        <v>1</v>
      </c>
      <c r="AL79" s="1" t="s">
        <v>25</v>
      </c>
      <c r="AM79" s="1">
        <v>1</v>
      </c>
      <c r="AN79" s="12">
        <v>125643</v>
      </c>
      <c r="AO79" s="12">
        <v>9</v>
      </c>
      <c r="AP79" s="12">
        <v>1</v>
      </c>
      <c r="AQ79" s="12">
        <v>8</v>
      </c>
      <c r="AR79" s="12" t="s">
        <v>48</v>
      </c>
      <c r="AS79" s="12">
        <v>0</v>
      </c>
      <c r="AT79" s="14">
        <v>0</v>
      </c>
    </row>
    <row r="80" spans="1:46" x14ac:dyDescent="0.3">
      <c r="A80" s="13">
        <v>79</v>
      </c>
      <c r="B80" s="1">
        <v>12</v>
      </c>
      <c r="C80" s="1" t="s">
        <v>14</v>
      </c>
      <c r="D80" s="1" t="s">
        <v>29</v>
      </c>
      <c r="E80" s="2" t="s">
        <v>110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1</v>
      </c>
      <c r="T80" s="3">
        <v>25</v>
      </c>
      <c r="U80" s="1">
        <v>134</v>
      </c>
      <c r="V80" s="4">
        <v>92</v>
      </c>
      <c r="W80" s="4">
        <v>24</v>
      </c>
      <c r="X80" s="35" t="s">
        <v>111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35">
        <v>1</v>
      </c>
      <c r="AF80" s="6">
        <v>11</v>
      </c>
      <c r="AG80" s="1" t="s">
        <v>24</v>
      </c>
      <c r="AH80" s="1">
        <v>0</v>
      </c>
      <c r="AI80" s="1">
        <v>0</v>
      </c>
      <c r="AJ80" s="1" t="s">
        <v>19</v>
      </c>
      <c r="AK80" s="1">
        <v>1</v>
      </c>
      <c r="AL80" s="1" t="s">
        <v>25</v>
      </c>
      <c r="AM80" s="1">
        <v>1</v>
      </c>
      <c r="AN80" s="12">
        <v>120064</v>
      </c>
      <c r="AO80" s="12">
        <v>6</v>
      </c>
      <c r="AP80" s="12">
        <v>1</v>
      </c>
      <c r="AQ80" s="12">
        <v>5</v>
      </c>
      <c r="AR80" s="12" t="s">
        <v>48</v>
      </c>
      <c r="AS80" s="12">
        <v>0</v>
      </c>
      <c r="AT80" s="14">
        <v>0</v>
      </c>
    </row>
    <row r="81" spans="1:46" x14ac:dyDescent="0.3">
      <c r="A81" s="13">
        <v>80</v>
      </c>
      <c r="B81" s="1">
        <v>12</v>
      </c>
      <c r="C81" s="1" t="s">
        <v>14</v>
      </c>
      <c r="D81" s="1" t="s">
        <v>29</v>
      </c>
      <c r="E81" s="2" t="s">
        <v>110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</v>
      </c>
      <c r="T81" s="3">
        <v>27</v>
      </c>
      <c r="U81" s="1">
        <v>144</v>
      </c>
      <c r="V81" s="4">
        <v>72</v>
      </c>
      <c r="W81" s="4">
        <v>22</v>
      </c>
      <c r="X81" s="35" t="s">
        <v>111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35">
        <v>1</v>
      </c>
      <c r="AF81" s="6">
        <v>12</v>
      </c>
      <c r="AG81" s="1" t="s">
        <v>24</v>
      </c>
      <c r="AH81" s="1">
        <v>0</v>
      </c>
      <c r="AI81" s="1">
        <v>0</v>
      </c>
      <c r="AJ81" s="1" t="s">
        <v>19</v>
      </c>
      <c r="AK81" s="1">
        <v>1</v>
      </c>
      <c r="AL81" s="1" t="s">
        <v>25</v>
      </c>
      <c r="AM81" s="1">
        <v>1</v>
      </c>
      <c r="AN81" s="12">
        <v>114580</v>
      </c>
      <c r="AO81" s="12">
        <v>7</v>
      </c>
      <c r="AP81" s="12">
        <v>1</v>
      </c>
      <c r="AQ81" s="12">
        <v>6</v>
      </c>
      <c r="AR81" s="12" t="s">
        <v>48</v>
      </c>
      <c r="AS81" s="12">
        <v>0</v>
      </c>
      <c r="AT81" s="14">
        <v>0</v>
      </c>
    </row>
    <row r="82" spans="1:46" ht="26.4" x14ac:dyDescent="0.3">
      <c r="A82" s="13">
        <v>81</v>
      </c>
      <c r="B82" s="1">
        <v>5</v>
      </c>
      <c r="C82" s="1" t="s">
        <v>27</v>
      </c>
      <c r="D82" s="1" t="s">
        <v>29</v>
      </c>
      <c r="E82" s="2" t="s">
        <v>34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36">
        <v>0</v>
      </c>
      <c r="T82" s="3">
        <v>15</v>
      </c>
      <c r="U82" s="1">
        <v>117</v>
      </c>
      <c r="V82" s="4">
        <v>80</v>
      </c>
      <c r="W82" s="4">
        <v>24</v>
      </c>
      <c r="X82" s="35" t="s">
        <v>111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35">
        <v>1</v>
      </c>
      <c r="AF82" s="6">
        <v>11</v>
      </c>
      <c r="AG82" s="1" t="s">
        <v>24</v>
      </c>
      <c r="AH82" s="1">
        <v>0</v>
      </c>
      <c r="AI82" s="1">
        <v>0</v>
      </c>
      <c r="AJ82" s="1" t="s">
        <v>19</v>
      </c>
      <c r="AK82" s="1">
        <v>1</v>
      </c>
      <c r="AL82" s="1" t="s">
        <v>25</v>
      </c>
      <c r="AM82" s="1">
        <v>1</v>
      </c>
      <c r="AN82" s="12">
        <v>119935.36</v>
      </c>
      <c r="AO82" s="12">
        <v>7</v>
      </c>
      <c r="AP82" s="12">
        <v>1</v>
      </c>
      <c r="AQ82" s="12">
        <v>6</v>
      </c>
      <c r="AR82" s="12" t="s">
        <v>48</v>
      </c>
      <c r="AS82" s="12">
        <v>0</v>
      </c>
      <c r="AT82" s="14">
        <v>0</v>
      </c>
    </row>
    <row r="83" spans="1:46" x14ac:dyDescent="0.3">
      <c r="A83" s="13">
        <v>82</v>
      </c>
      <c r="B83" s="7">
        <v>51</v>
      </c>
      <c r="C83" s="7" t="s">
        <v>14</v>
      </c>
      <c r="D83" s="7" t="s">
        <v>15</v>
      </c>
      <c r="E83" s="2" t="s">
        <v>21</v>
      </c>
      <c r="F83" s="2">
        <v>0</v>
      </c>
      <c r="G83" s="2">
        <v>1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36">
        <v>0</v>
      </c>
      <c r="T83" s="8">
        <v>55.6</v>
      </c>
      <c r="U83" s="7">
        <v>148</v>
      </c>
      <c r="V83" s="9">
        <v>69</v>
      </c>
      <c r="W83" s="9">
        <v>23</v>
      </c>
      <c r="X83" s="1" t="s">
        <v>26</v>
      </c>
      <c r="Y83" s="1">
        <v>0</v>
      </c>
      <c r="Z83" s="1">
        <v>0</v>
      </c>
      <c r="AA83" s="1">
        <v>1</v>
      </c>
      <c r="AB83" s="1">
        <v>0</v>
      </c>
      <c r="AC83" s="1">
        <v>0</v>
      </c>
      <c r="AD83" s="1">
        <v>0</v>
      </c>
      <c r="AE83" s="1">
        <v>0</v>
      </c>
      <c r="AF83" s="30">
        <v>14.1</v>
      </c>
      <c r="AG83" s="7" t="s">
        <v>18</v>
      </c>
      <c r="AH83" s="1">
        <v>1</v>
      </c>
      <c r="AI83" s="7">
        <v>0</v>
      </c>
      <c r="AJ83" s="7" t="s">
        <v>19</v>
      </c>
      <c r="AK83" s="1">
        <v>1</v>
      </c>
      <c r="AL83" s="7" t="s">
        <v>20</v>
      </c>
      <c r="AM83" s="1">
        <v>0</v>
      </c>
      <c r="AN83" s="12">
        <v>199268</v>
      </c>
      <c r="AO83" s="12">
        <v>12</v>
      </c>
      <c r="AP83" s="12">
        <v>4</v>
      </c>
      <c r="AQ83" s="12">
        <v>8</v>
      </c>
      <c r="AR83" s="12" t="s">
        <v>48</v>
      </c>
      <c r="AS83" s="12">
        <v>0</v>
      </c>
      <c r="AT83" s="14">
        <v>0</v>
      </c>
    </row>
    <row r="84" spans="1:46" x14ac:dyDescent="0.3">
      <c r="A84" s="13">
        <v>83</v>
      </c>
      <c r="B84" s="7">
        <v>51</v>
      </c>
      <c r="C84" s="7" t="s">
        <v>27</v>
      </c>
      <c r="D84" s="7" t="s">
        <v>15</v>
      </c>
      <c r="E84" s="2" t="s">
        <v>28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1</v>
      </c>
      <c r="S84" s="36">
        <v>0</v>
      </c>
      <c r="T84" s="8">
        <v>58</v>
      </c>
      <c r="U84" s="7">
        <v>153</v>
      </c>
      <c r="V84" s="9">
        <v>90</v>
      </c>
      <c r="W84" s="9">
        <v>24</v>
      </c>
      <c r="X84" s="35" t="s">
        <v>111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35">
        <v>1</v>
      </c>
      <c r="AF84" s="30">
        <v>8.4</v>
      </c>
      <c r="AG84" s="1" t="s">
        <v>24</v>
      </c>
      <c r="AH84" s="1">
        <v>0</v>
      </c>
      <c r="AI84" s="1">
        <v>0</v>
      </c>
      <c r="AJ84" s="7" t="s">
        <v>19</v>
      </c>
      <c r="AK84" s="1">
        <v>1</v>
      </c>
      <c r="AL84" s="1" t="s">
        <v>25</v>
      </c>
      <c r="AM84" s="1">
        <v>1</v>
      </c>
      <c r="AN84" s="12">
        <v>341011</v>
      </c>
      <c r="AO84" s="12">
        <v>10</v>
      </c>
      <c r="AP84" s="12">
        <v>3</v>
      </c>
      <c r="AQ84" s="12">
        <v>7</v>
      </c>
      <c r="AR84" s="12" t="s">
        <v>47</v>
      </c>
      <c r="AS84" s="12">
        <v>1</v>
      </c>
      <c r="AT84" s="14">
        <v>51450</v>
      </c>
    </row>
    <row r="85" spans="1:46" x14ac:dyDescent="0.3">
      <c r="A85" s="13">
        <v>84</v>
      </c>
      <c r="B85" s="7">
        <v>62</v>
      </c>
      <c r="C85" s="7" t="s">
        <v>27</v>
      </c>
      <c r="D85" s="7" t="s">
        <v>15</v>
      </c>
      <c r="E85" s="2" t="s">
        <v>28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1</v>
      </c>
      <c r="S85" s="36">
        <v>0</v>
      </c>
      <c r="T85" s="8">
        <v>44.7</v>
      </c>
      <c r="U85" s="7">
        <v>155</v>
      </c>
      <c r="V85" s="9">
        <v>87</v>
      </c>
      <c r="W85" s="9">
        <v>24</v>
      </c>
      <c r="X85" s="35" t="s">
        <v>111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35">
        <v>1</v>
      </c>
      <c r="AF85" s="30">
        <v>9.8000000000000007</v>
      </c>
      <c r="AG85" s="7" t="s">
        <v>18</v>
      </c>
      <c r="AH85" s="1">
        <v>1</v>
      </c>
      <c r="AI85" s="7">
        <v>0</v>
      </c>
      <c r="AJ85" s="7" t="s">
        <v>19</v>
      </c>
      <c r="AK85" s="1">
        <v>1</v>
      </c>
      <c r="AL85" s="7" t="s">
        <v>20</v>
      </c>
      <c r="AM85" s="1">
        <v>0</v>
      </c>
      <c r="AN85" s="12">
        <v>334955</v>
      </c>
      <c r="AO85" s="12">
        <v>19</v>
      </c>
      <c r="AP85" s="12">
        <v>5</v>
      </c>
      <c r="AQ85" s="12">
        <v>14</v>
      </c>
      <c r="AR85" s="12" t="s">
        <v>47</v>
      </c>
      <c r="AS85" s="12">
        <v>1</v>
      </c>
      <c r="AT85" s="14">
        <v>41800</v>
      </c>
    </row>
    <row r="86" spans="1:46" x14ac:dyDescent="0.3">
      <c r="A86" s="13">
        <v>85</v>
      </c>
      <c r="B86" s="7">
        <v>7</v>
      </c>
      <c r="C86" s="7" t="s">
        <v>27</v>
      </c>
      <c r="D86" s="7" t="s">
        <v>29</v>
      </c>
      <c r="E86" s="2" t="s">
        <v>16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36">
        <v>0</v>
      </c>
      <c r="T86" s="8">
        <v>20</v>
      </c>
      <c r="U86" s="7">
        <v>114</v>
      </c>
      <c r="V86" s="9">
        <v>132</v>
      </c>
      <c r="W86" s="9">
        <v>26</v>
      </c>
      <c r="X86" s="35" t="s">
        <v>111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35">
        <v>1</v>
      </c>
      <c r="AF86" s="30">
        <v>16.600000000000001</v>
      </c>
      <c r="AG86" s="1" t="s">
        <v>24</v>
      </c>
      <c r="AH86" s="1">
        <v>0</v>
      </c>
      <c r="AI86" s="1">
        <v>0</v>
      </c>
      <c r="AJ86" s="11" t="s">
        <v>19</v>
      </c>
      <c r="AK86" s="1">
        <v>1</v>
      </c>
      <c r="AL86" s="1" t="s">
        <v>25</v>
      </c>
      <c r="AM86" s="1">
        <v>1</v>
      </c>
      <c r="AN86" s="12">
        <v>258138</v>
      </c>
      <c r="AO86" s="12">
        <v>23</v>
      </c>
      <c r="AP86" s="12">
        <v>4</v>
      </c>
      <c r="AQ86" s="12">
        <v>19</v>
      </c>
      <c r="AR86" s="12" t="s">
        <v>47</v>
      </c>
      <c r="AS86" s="12">
        <v>1</v>
      </c>
      <c r="AT86" s="14">
        <v>26000</v>
      </c>
    </row>
    <row r="87" spans="1:46" x14ac:dyDescent="0.3">
      <c r="A87" s="13">
        <v>86</v>
      </c>
      <c r="B87" s="7">
        <v>19</v>
      </c>
      <c r="C87" s="7" t="s">
        <v>27</v>
      </c>
      <c r="D87" s="7" t="s">
        <v>29</v>
      </c>
      <c r="E87" s="2" t="s">
        <v>28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1</v>
      </c>
      <c r="S87" s="36">
        <v>0</v>
      </c>
      <c r="T87" s="8">
        <v>50</v>
      </c>
      <c r="U87" s="7">
        <v>156</v>
      </c>
      <c r="V87" s="9">
        <v>72</v>
      </c>
      <c r="W87" s="9">
        <v>22</v>
      </c>
      <c r="X87" s="35" t="s">
        <v>111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35">
        <v>1</v>
      </c>
      <c r="AF87" s="30">
        <v>11.7</v>
      </c>
      <c r="AG87" s="1" t="s">
        <v>24</v>
      </c>
      <c r="AH87" s="1">
        <v>0</v>
      </c>
      <c r="AI87" s="1">
        <v>0</v>
      </c>
      <c r="AJ87" s="7" t="s">
        <v>19</v>
      </c>
      <c r="AK87" s="1">
        <v>1</v>
      </c>
      <c r="AL87" s="1" t="s">
        <v>25</v>
      </c>
      <c r="AM87" s="1">
        <v>1</v>
      </c>
      <c r="AN87" s="12">
        <v>275888</v>
      </c>
      <c r="AO87" s="12">
        <v>13</v>
      </c>
      <c r="AP87" s="12">
        <v>2</v>
      </c>
      <c r="AQ87" s="12">
        <v>11</v>
      </c>
      <c r="AR87" s="12" t="s">
        <v>47</v>
      </c>
      <c r="AS87" s="12">
        <v>1</v>
      </c>
      <c r="AT87" s="14">
        <v>41800</v>
      </c>
    </row>
    <row r="88" spans="1:46" ht="26.4" x14ac:dyDescent="0.3">
      <c r="A88" s="13">
        <v>87</v>
      </c>
      <c r="B88" s="30">
        <v>0.58333333333333337</v>
      </c>
      <c r="C88" s="7" t="s">
        <v>27</v>
      </c>
      <c r="D88" s="7" t="s">
        <v>29</v>
      </c>
      <c r="E88" s="2" t="s">
        <v>34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36">
        <v>0</v>
      </c>
      <c r="T88" s="8">
        <v>5.8</v>
      </c>
      <c r="U88" s="7">
        <v>57</v>
      </c>
      <c r="V88" s="9">
        <v>150</v>
      </c>
      <c r="W88" s="9">
        <v>28</v>
      </c>
      <c r="X88" s="35" t="s">
        <v>111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35">
        <v>1</v>
      </c>
      <c r="AF88" s="30">
        <v>11.3</v>
      </c>
      <c r="AG88" s="1" t="s">
        <v>24</v>
      </c>
      <c r="AH88" s="1">
        <v>0</v>
      </c>
      <c r="AI88" s="1">
        <v>0</v>
      </c>
      <c r="AJ88" s="7" t="s">
        <v>19</v>
      </c>
      <c r="AK88" s="1">
        <v>1</v>
      </c>
      <c r="AL88" s="1" t="s">
        <v>25</v>
      </c>
      <c r="AM88" s="1">
        <v>1</v>
      </c>
      <c r="AN88" s="12">
        <v>308817</v>
      </c>
      <c r="AO88" s="12">
        <v>27</v>
      </c>
      <c r="AP88" s="12">
        <v>12</v>
      </c>
      <c r="AQ88" s="12">
        <v>15</v>
      </c>
      <c r="AR88" s="12" t="s">
        <v>48</v>
      </c>
      <c r="AS88" s="12">
        <v>0</v>
      </c>
      <c r="AT88" s="14">
        <v>0</v>
      </c>
    </row>
    <row r="89" spans="1:46" x14ac:dyDescent="0.3">
      <c r="A89" s="13">
        <v>88</v>
      </c>
      <c r="B89" s="7">
        <v>42</v>
      </c>
      <c r="C89" s="7" t="s">
        <v>14</v>
      </c>
      <c r="D89" s="7" t="s">
        <v>15</v>
      </c>
      <c r="E89" s="2" t="s">
        <v>28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1</v>
      </c>
      <c r="S89" s="36">
        <v>0</v>
      </c>
      <c r="T89" s="8">
        <v>45</v>
      </c>
      <c r="U89" s="7">
        <v>172</v>
      </c>
      <c r="V89" s="9">
        <v>127</v>
      </c>
      <c r="W89" s="9">
        <v>23</v>
      </c>
      <c r="X89" s="35" t="s">
        <v>111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35">
        <v>1</v>
      </c>
      <c r="AF89" s="30">
        <v>12.6</v>
      </c>
      <c r="AG89" s="1" t="s">
        <v>24</v>
      </c>
      <c r="AH89" s="1">
        <v>0</v>
      </c>
      <c r="AI89" s="1">
        <v>0</v>
      </c>
      <c r="AJ89" s="7" t="s">
        <v>19</v>
      </c>
      <c r="AK89" s="1">
        <v>1</v>
      </c>
      <c r="AL89" s="1" t="s">
        <v>25</v>
      </c>
      <c r="AM89" s="1">
        <v>1</v>
      </c>
      <c r="AN89" s="12">
        <v>294615.90000000002</v>
      </c>
      <c r="AO89" s="12">
        <v>15</v>
      </c>
      <c r="AP89" s="12">
        <v>5</v>
      </c>
      <c r="AQ89" s="12">
        <v>10</v>
      </c>
      <c r="AR89" s="12" t="s">
        <v>47</v>
      </c>
      <c r="AS89" s="12">
        <v>1</v>
      </c>
      <c r="AT89" s="14">
        <v>41800</v>
      </c>
    </row>
    <row r="90" spans="1:46" x14ac:dyDescent="0.3">
      <c r="A90" s="13">
        <v>89</v>
      </c>
      <c r="B90" s="7">
        <v>16</v>
      </c>
      <c r="C90" s="7" t="s">
        <v>27</v>
      </c>
      <c r="D90" s="7" t="s">
        <v>29</v>
      </c>
      <c r="E90" s="2" t="s">
        <v>16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1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36">
        <v>0</v>
      </c>
      <c r="T90" s="8">
        <v>31</v>
      </c>
      <c r="U90" s="7">
        <v>150</v>
      </c>
      <c r="V90" s="9">
        <v>72</v>
      </c>
      <c r="W90" s="9">
        <v>22</v>
      </c>
      <c r="X90" s="35" t="s">
        <v>111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35">
        <v>1</v>
      </c>
      <c r="AF90" s="30">
        <v>21</v>
      </c>
      <c r="AG90" s="1" t="s">
        <v>24</v>
      </c>
      <c r="AH90" s="1">
        <v>0</v>
      </c>
      <c r="AI90" s="1">
        <v>0</v>
      </c>
      <c r="AJ90" s="7" t="s">
        <v>19</v>
      </c>
      <c r="AK90" s="1">
        <v>1</v>
      </c>
      <c r="AL90" s="1" t="s">
        <v>25</v>
      </c>
      <c r="AM90" s="1">
        <v>1</v>
      </c>
      <c r="AN90" s="12">
        <v>156576.85</v>
      </c>
      <c r="AO90" s="12">
        <v>12</v>
      </c>
      <c r="AP90" s="12">
        <v>2</v>
      </c>
      <c r="AQ90" s="12">
        <v>10</v>
      </c>
      <c r="AR90" s="12" t="s">
        <v>48</v>
      </c>
      <c r="AS90" s="12">
        <v>0</v>
      </c>
      <c r="AT90" s="14">
        <v>0</v>
      </c>
    </row>
    <row r="91" spans="1:46" x14ac:dyDescent="0.3">
      <c r="A91" s="13">
        <v>90</v>
      </c>
      <c r="B91" s="7">
        <v>3</v>
      </c>
      <c r="C91" s="7" t="s">
        <v>27</v>
      </c>
      <c r="D91" s="7" t="s">
        <v>29</v>
      </c>
      <c r="E91" s="2" t="s">
        <v>16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36">
        <v>0</v>
      </c>
      <c r="T91" s="8">
        <v>9</v>
      </c>
      <c r="U91" s="7">
        <v>81</v>
      </c>
      <c r="V91" s="9">
        <v>99</v>
      </c>
      <c r="W91" s="9">
        <v>20</v>
      </c>
      <c r="X91" s="35" t="s">
        <v>111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35">
        <v>1</v>
      </c>
      <c r="AF91" s="30">
        <v>12.9</v>
      </c>
      <c r="AG91" s="1" t="s">
        <v>24</v>
      </c>
      <c r="AH91" s="1">
        <v>0</v>
      </c>
      <c r="AI91" s="1">
        <v>0</v>
      </c>
      <c r="AJ91" s="7" t="s">
        <v>19</v>
      </c>
      <c r="AK91" s="1">
        <v>1</v>
      </c>
      <c r="AL91" s="1" t="s">
        <v>25</v>
      </c>
      <c r="AM91" s="1">
        <v>1</v>
      </c>
      <c r="AN91" s="12">
        <v>109575.6</v>
      </c>
      <c r="AO91" s="12">
        <v>18</v>
      </c>
      <c r="AP91" s="12">
        <v>1</v>
      </c>
      <c r="AQ91" s="12">
        <v>17</v>
      </c>
      <c r="AR91" s="12" t="s">
        <v>48</v>
      </c>
      <c r="AS91" s="12">
        <v>0</v>
      </c>
      <c r="AT91" s="14">
        <v>0</v>
      </c>
    </row>
    <row r="92" spans="1:46" ht="26.4" x14ac:dyDescent="0.3">
      <c r="A92" s="13">
        <v>91</v>
      </c>
      <c r="B92" s="7">
        <v>2</v>
      </c>
      <c r="C92" s="7" t="s">
        <v>27</v>
      </c>
      <c r="D92" s="7" t="s">
        <v>29</v>
      </c>
      <c r="E92" s="2" t="s">
        <v>41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1</v>
      </c>
      <c r="Q92" s="2">
        <v>0</v>
      </c>
      <c r="R92" s="2">
        <v>0</v>
      </c>
      <c r="S92" s="36">
        <v>0</v>
      </c>
      <c r="T92" s="8">
        <v>11.9</v>
      </c>
      <c r="U92" s="7">
        <v>86</v>
      </c>
      <c r="V92" s="9">
        <v>104</v>
      </c>
      <c r="W92" s="9">
        <v>24</v>
      </c>
      <c r="X92" s="35" t="s">
        <v>111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35">
        <v>1</v>
      </c>
      <c r="AF92" s="30">
        <v>16</v>
      </c>
      <c r="AG92" s="1" t="s">
        <v>24</v>
      </c>
      <c r="AH92" s="1">
        <v>0</v>
      </c>
      <c r="AI92" s="1">
        <v>0</v>
      </c>
      <c r="AJ92" s="7" t="s">
        <v>19</v>
      </c>
      <c r="AK92" s="1">
        <v>1</v>
      </c>
      <c r="AL92" s="1" t="s">
        <v>25</v>
      </c>
      <c r="AM92" s="1">
        <v>1</v>
      </c>
      <c r="AN92" s="12">
        <v>209292</v>
      </c>
      <c r="AO92" s="12">
        <v>19</v>
      </c>
      <c r="AP92" s="12">
        <v>2</v>
      </c>
      <c r="AQ92" s="12">
        <v>17</v>
      </c>
      <c r="AR92" s="12" t="s">
        <v>48</v>
      </c>
      <c r="AS92" s="12">
        <v>0</v>
      </c>
      <c r="AT92" s="14">
        <v>0</v>
      </c>
    </row>
    <row r="93" spans="1:46" x14ac:dyDescent="0.3">
      <c r="A93" s="13">
        <v>92</v>
      </c>
      <c r="B93" s="7">
        <v>3</v>
      </c>
      <c r="C93" s="7" t="s">
        <v>14</v>
      </c>
      <c r="D93" s="7" t="s">
        <v>29</v>
      </c>
      <c r="E93" s="2" t="s">
        <v>42</v>
      </c>
      <c r="F93" s="2">
        <v>1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36">
        <v>0</v>
      </c>
      <c r="T93" s="8">
        <v>13</v>
      </c>
      <c r="U93" s="7">
        <v>85</v>
      </c>
      <c r="V93" s="9">
        <v>140</v>
      </c>
      <c r="W93" s="9">
        <v>24</v>
      </c>
      <c r="X93" s="1" t="s">
        <v>40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1</v>
      </c>
      <c r="AE93" s="1">
        <v>0</v>
      </c>
      <c r="AF93" s="30">
        <v>11.4</v>
      </c>
      <c r="AG93" s="1" t="s">
        <v>24</v>
      </c>
      <c r="AH93" s="1">
        <v>0</v>
      </c>
      <c r="AI93" s="1">
        <v>0</v>
      </c>
      <c r="AJ93" s="7" t="s">
        <v>19</v>
      </c>
      <c r="AK93" s="1">
        <v>1</v>
      </c>
      <c r="AL93" s="1" t="s">
        <v>25</v>
      </c>
      <c r="AM93" s="1">
        <v>1</v>
      </c>
      <c r="AN93" s="12">
        <v>195136</v>
      </c>
      <c r="AO93" s="12">
        <v>12</v>
      </c>
      <c r="AP93" s="12">
        <v>3</v>
      </c>
      <c r="AQ93" s="12">
        <v>9</v>
      </c>
      <c r="AR93" s="12" t="s">
        <v>48</v>
      </c>
      <c r="AS93" s="12">
        <v>0</v>
      </c>
      <c r="AT93" s="14">
        <v>0</v>
      </c>
    </row>
    <row r="94" spans="1:46" x14ac:dyDescent="0.3">
      <c r="A94" s="13">
        <v>93</v>
      </c>
      <c r="B94" s="7">
        <v>1</v>
      </c>
      <c r="C94" s="7" t="s">
        <v>14</v>
      </c>
      <c r="D94" s="7" t="s">
        <v>29</v>
      </c>
      <c r="E94" s="2" t="s">
        <v>16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36">
        <v>0</v>
      </c>
      <c r="T94" s="8">
        <v>5.7</v>
      </c>
      <c r="U94" s="7">
        <v>65</v>
      </c>
      <c r="V94" s="9">
        <v>116</v>
      </c>
      <c r="W94" s="9">
        <v>34</v>
      </c>
      <c r="X94" s="35" t="s">
        <v>111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35">
        <v>1</v>
      </c>
      <c r="AF94" s="30">
        <v>9.6</v>
      </c>
      <c r="AG94" s="1" t="s">
        <v>24</v>
      </c>
      <c r="AH94" s="1">
        <v>0</v>
      </c>
      <c r="AI94" s="1">
        <v>0</v>
      </c>
      <c r="AJ94" s="7" t="s">
        <v>19</v>
      </c>
      <c r="AK94" s="1">
        <v>1</v>
      </c>
      <c r="AL94" s="1" t="s">
        <v>25</v>
      </c>
      <c r="AM94" s="1">
        <v>1</v>
      </c>
      <c r="AN94" s="12">
        <v>265243</v>
      </c>
      <c r="AO94" s="12">
        <v>18</v>
      </c>
      <c r="AP94" s="12">
        <v>15</v>
      </c>
      <c r="AQ94" s="12">
        <v>3</v>
      </c>
      <c r="AR94" s="12" t="s">
        <v>48</v>
      </c>
      <c r="AS94" s="12">
        <v>0</v>
      </c>
      <c r="AT94" s="14">
        <v>0</v>
      </c>
    </row>
    <row r="95" spans="1:46" x14ac:dyDescent="0.3">
      <c r="A95" s="13">
        <v>94</v>
      </c>
      <c r="B95" s="7">
        <v>65</v>
      </c>
      <c r="C95" s="7" t="s">
        <v>27</v>
      </c>
      <c r="D95" s="7" t="s">
        <v>15</v>
      </c>
      <c r="E95" s="2" t="s">
        <v>42</v>
      </c>
      <c r="F95" s="2">
        <v>1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36">
        <v>0</v>
      </c>
      <c r="T95" s="8">
        <v>43</v>
      </c>
      <c r="U95" s="7">
        <v>155</v>
      </c>
      <c r="V95" s="9">
        <v>101</v>
      </c>
      <c r="W95" s="9">
        <v>24</v>
      </c>
      <c r="X95" s="35" t="s">
        <v>111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35">
        <v>1</v>
      </c>
      <c r="AF95" s="30">
        <v>15.2</v>
      </c>
      <c r="AG95" s="7" t="s">
        <v>18</v>
      </c>
      <c r="AH95" s="1">
        <v>1</v>
      </c>
      <c r="AI95" s="7">
        <v>0</v>
      </c>
      <c r="AJ95" s="7" t="s">
        <v>19</v>
      </c>
      <c r="AK95" s="1">
        <v>1</v>
      </c>
      <c r="AL95" s="7" t="s">
        <v>20</v>
      </c>
      <c r="AM95" s="1">
        <v>0</v>
      </c>
      <c r="AN95" s="12">
        <v>201219</v>
      </c>
      <c r="AO95" s="12">
        <v>8</v>
      </c>
      <c r="AP95" s="12">
        <v>2</v>
      </c>
      <c r="AQ95" s="12">
        <v>6</v>
      </c>
      <c r="AR95" s="12" t="s">
        <v>47</v>
      </c>
      <c r="AS95" s="12">
        <v>1</v>
      </c>
      <c r="AT95" s="14">
        <v>30870</v>
      </c>
    </row>
    <row r="96" spans="1:46" x14ac:dyDescent="0.3">
      <c r="A96" s="13">
        <v>95</v>
      </c>
      <c r="B96" s="7">
        <v>7</v>
      </c>
      <c r="C96" s="7" t="s">
        <v>14</v>
      </c>
      <c r="D96" s="7" t="s">
        <v>29</v>
      </c>
      <c r="E96" s="2" t="s">
        <v>16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36">
        <v>0</v>
      </c>
      <c r="T96" s="8">
        <v>14</v>
      </c>
      <c r="U96" s="7">
        <v>112</v>
      </c>
      <c r="V96" s="9">
        <v>80</v>
      </c>
      <c r="W96" s="9">
        <v>22</v>
      </c>
      <c r="X96" s="35" t="s">
        <v>111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35">
        <v>1</v>
      </c>
      <c r="AF96" s="30">
        <v>13.1</v>
      </c>
      <c r="AG96" s="1" t="s">
        <v>24</v>
      </c>
      <c r="AH96" s="1">
        <v>0</v>
      </c>
      <c r="AI96" s="1">
        <v>0</v>
      </c>
      <c r="AJ96" s="7" t="s">
        <v>19</v>
      </c>
      <c r="AK96" s="1">
        <v>1</v>
      </c>
      <c r="AL96" s="1" t="s">
        <v>25</v>
      </c>
      <c r="AM96" s="1">
        <v>1</v>
      </c>
      <c r="AN96" s="12">
        <v>179720</v>
      </c>
      <c r="AO96" s="12">
        <v>8</v>
      </c>
      <c r="AP96" s="12">
        <v>4</v>
      </c>
      <c r="AQ96" s="12">
        <v>4</v>
      </c>
      <c r="AR96" s="12" t="s">
        <v>48</v>
      </c>
      <c r="AS96" s="12">
        <v>0</v>
      </c>
      <c r="AT96" s="14">
        <v>0</v>
      </c>
    </row>
    <row r="97" spans="1:46" x14ac:dyDescent="0.3">
      <c r="A97" s="13">
        <v>96</v>
      </c>
      <c r="B97" s="7">
        <v>70</v>
      </c>
      <c r="C97" s="7" t="s">
        <v>14</v>
      </c>
      <c r="D97" s="7" t="s">
        <v>15</v>
      </c>
      <c r="E97" s="2" t="s">
        <v>33</v>
      </c>
      <c r="F97" s="2">
        <v>0</v>
      </c>
      <c r="G97" s="2">
        <v>0</v>
      </c>
      <c r="H97" s="2">
        <v>1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36">
        <v>0</v>
      </c>
      <c r="T97" s="8">
        <v>58</v>
      </c>
      <c r="U97" s="7">
        <v>171</v>
      </c>
      <c r="V97" s="9">
        <v>68</v>
      </c>
      <c r="W97" s="9">
        <v>20</v>
      </c>
      <c r="X97" s="1" t="s">
        <v>26</v>
      </c>
      <c r="Y97" s="1">
        <v>0</v>
      </c>
      <c r="Z97" s="1">
        <v>0</v>
      </c>
      <c r="AA97" s="1">
        <v>1</v>
      </c>
      <c r="AB97" s="1">
        <v>0</v>
      </c>
      <c r="AC97" s="1">
        <v>0</v>
      </c>
      <c r="AD97" s="1">
        <v>0</v>
      </c>
      <c r="AE97" s="1">
        <v>0</v>
      </c>
      <c r="AF97" s="30">
        <v>10</v>
      </c>
      <c r="AG97" s="1" t="s">
        <v>24</v>
      </c>
      <c r="AH97" s="1">
        <v>0</v>
      </c>
      <c r="AI97" s="1">
        <v>0</v>
      </c>
      <c r="AJ97" s="7" t="s">
        <v>19</v>
      </c>
      <c r="AK97" s="1">
        <v>1</v>
      </c>
      <c r="AL97" s="1" t="s">
        <v>25</v>
      </c>
      <c r="AM97" s="1">
        <v>1</v>
      </c>
      <c r="AN97" s="12">
        <v>143278.83000000002</v>
      </c>
      <c r="AO97" s="12">
        <v>19</v>
      </c>
      <c r="AP97" s="12">
        <v>1</v>
      </c>
      <c r="AQ97" s="12">
        <v>18</v>
      </c>
      <c r="AR97" s="12" t="s">
        <v>48</v>
      </c>
      <c r="AS97" s="12">
        <v>0</v>
      </c>
      <c r="AT97" s="14">
        <v>0</v>
      </c>
    </row>
    <row r="98" spans="1:46" x14ac:dyDescent="0.3">
      <c r="A98" s="13">
        <v>97</v>
      </c>
      <c r="B98" s="7">
        <v>49</v>
      </c>
      <c r="C98" s="7" t="s">
        <v>14</v>
      </c>
      <c r="D98" s="7" t="s">
        <v>15</v>
      </c>
      <c r="E98" s="2" t="s">
        <v>42</v>
      </c>
      <c r="F98" s="2">
        <v>1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36">
        <v>0</v>
      </c>
      <c r="T98" s="8">
        <v>56</v>
      </c>
      <c r="U98" s="7">
        <v>155</v>
      </c>
      <c r="V98" s="9">
        <v>84</v>
      </c>
      <c r="W98" s="9">
        <v>24</v>
      </c>
      <c r="X98" s="35" t="s">
        <v>111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35">
        <v>1</v>
      </c>
      <c r="AF98" s="30">
        <v>11.9</v>
      </c>
      <c r="AG98" s="1" t="s">
        <v>24</v>
      </c>
      <c r="AH98" s="1">
        <v>0</v>
      </c>
      <c r="AI98" s="1">
        <v>0</v>
      </c>
      <c r="AJ98" s="7" t="s">
        <v>19</v>
      </c>
      <c r="AK98" s="1">
        <v>1</v>
      </c>
      <c r="AL98" s="1" t="s">
        <v>25</v>
      </c>
      <c r="AM98" s="1">
        <v>1</v>
      </c>
      <c r="AN98" s="12">
        <v>214679</v>
      </c>
      <c r="AO98" s="12">
        <v>14</v>
      </c>
      <c r="AP98" s="12">
        <v>4</v>
      </c>
      <c r="AQ98" s="12">
        <v>10</v>
      </c>
      <c r="AR98" s="12" t="s">
        <v>47</v>
      </c>
      <c r="AS98" s="12">
        <v>1</v>
      </c>
      <c r="AT98" s="14">
        <v>30870</v>
      </c>
    </row>
    <row r="99" spans="1:46" x14ac:dyDescent="0.3">
      <c r="A99" s="13">
        <v>98</v>
      </c>
      <c r="B99" s="7">
        <v>2</v>
      </c>
      <c r="C99" s="7" t="s">
        <v>27</v>
      </c>
      <c r="D99" s="7" t="s">
        <v>29</v>
      </c>
      <c r="E99" s="2" t="s">
        <v>16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1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36">
        <v>0</v>
      </c>
      <c r="T99" s="8">
        <v>8.4</v>
      </c>
      <c r="U99" s="7">
        <v>80</v>
      </c>
      <c r="V99" s="9">
        <v>112</v>
      </c>
      <c r="W99" s="9">
        <v>30</v>
      </c>
      <c r="X99" s="35" t="s">
        <v>111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35">
        <v>1</v>
      </c>
      <c r="AF99" s="30">
        <v>25</v>
      </c>
      <c r="AG99" s="1" t="s">
        <v>24</v>
      </c>
      <c r="AH99" s="1">
        <v>0</v>
      </c>
      <c r="AI99" s="1">
        <v>0</v>
      </c>
      <c r="AJ99" s="7" t="s">
        <v>19</v>
      </c>
      <c r="AK99" s="1">
        <v>1</v>
      </c>
      <c r="AL99" s="1" t="s">
        <v>25</v>
      </c>
      <c r="AM99" s="1">
        <v>1</v>
      </c>
      <c r="AN99" s="12">
        <v>165000</v>
      </c>
      <c r="AO99" s="12">
        <v>20</v>
      </c>
      <c r="AP99" s="12">
        <v>3</v>
      </c>
      <c r="AQ99" s="12">
        <v>17</v>
      </c>
      <c r="AR99" s="12" t="s">
        <v>48</v>
      </c>
      <c r="AS99" s="12">
        <v>0</v>
      </c>
      <c r="AT99" s="14">
        <v>0</v>
      </c>
    </row>
    <row r="100" spans="1:46" x14ac:dyDescent="0.3">
      <c r="A100" s="13">
        <v>99</v>
      </c>
      <c r="B100" s="7">
        <v>55</v>
      </c>
      <c r="C100" s="7" t="s">
        <v>14</v>
      </c>
      <c r="D100" s="7" t="s">
        <v>15</v>
      </c>
      <c r="E100" s="2" t="s">
        <v>21</v>
      </c>
      <c r="F100" s="2">
        <v>0</v>
      </c>
      <c r="G100" s="2">
        <v>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36">
        <v>0</v>
      </c>
      <c r="T100" s="8">
        <v>59</v>
      </c>
      <c r="U100" s="7">
        <v>171</v>
      </c>
      <c r="V100" s="9">
        <v>84</v>
      </c>
      <c r="W100" s="9">
        <v>20</v>
      </c>
      <c r="X100" s="1" t="s">
        <v>26</v>
      </c>
      <c r="Y100" s="1">
        <v>0</v>
      </c>
      <c r="Z100" s="1">
        <v>0</v>
      </c>
      <c r="AA100" s="1">
        <v>1</v>
      </c>
      <c r="AB100" s="1">
        <v>0</v>
      </c>
      <c r="AC100" s="1">
        <v>0</v>
      </c>
      <c r="AD100" s="1">
        <v>0</v>
      </c>
      <c r="AE100" s="1">
        <v>0</v>
      </c>
      <c r="AF100" s="30">
        <v>13.1</v>
      </c>
      <c r="AG100" s="1" t="s">
        <v>24</v>
      </c>
      <c r="AH100" s="1">
        <v>0</v>
      </c>
      <c r="AI100" s="1">
        <v>0</v>
      </c>
      <c r="AJ100" s="7" t="s">
        <v>19</v>
      </c>
      <c r="AK100" s="1">
        <v>1</v>
      </c>
      <c r="AL100" s="1" t="s">
        <v>25</v>
      </c>
      <c r="AM100" s="1">
        <v>1</v>
      </c>
      <c r="AN100" s="12">
        <v>262582</v>
      </c>
      <c r="AO100" s="12">
        <v>9</v>
      </c>
      <c r="AP100" s="12">
        <v>2</v>
      </c>
      <c r="AQ100" s="12">
        <v>7</v>
      </c>
      <c r="AR100" s="12" t="s">
        <v>47</v>
      </c>
      <c r="AS100" s="12">
        <v>1</v>
      </c>
      <c r="AT100" s="14">
        <v>39690</v>
      </c>
    </row>
    <row r="101" spans="1:46" x14ac:dyDescent="0.3">
      <c r="A101" s="13">
        <v>100</v>
      </c>
      <c r="B101" s="7">
        <v>1</v>
      </c>
      <c r="C101" s="7" t="s">
        <v>14</v>
      </c>
      <c r="D101" s="7" t="s">
        <v>29</v>
      </c>
      <c r="E101" s="2" t="s">
        <v>16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1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36">
        <v>0</v>
      </c>
      <c r="T101" s="8">
        <v>11.1</v>
      </c>
      <c r="U101" s="7">
        <v>76</v>
      </c>
      <c r="V101" s="9">
        <v>102</v>
      </c>
      <c r="W101" s="9">
        <v>28</v>
      </c>
      <c r="X101" s="35" t="s">
        <v>111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35">
        <v>1</v>
      </c>
      <c r="AF101" s="30">
        <v>12.9</v>
      </c>
      <c r="AG101" s="1" t="s">
        <v>24</v>
      </c>
      <c r="AH101" s="1">
        <v>0</v>
      </c>
      <c r="AI101" s="1">
        <v>0</v>
      </c>
      <c r="AJ101" s="7" t="s">
        <v>19</v>
      </c>
      <c r="AK101" s="1">
        <v>1</v>
      </c>
      <c r="AL101" s="1" t="s">
        <v>25</v>
      </c>
      <c r="AM101" s="1">
        <v>1</v>
      </c>
      <c r="AN101" s="12">
        <v>208535.71</v>
      </c>
      <c r="AO101" s="12">
        <v>14</v>
      </c>
      <c r="AP101" s="12">
        <v>4</v>
      </c>
      <c r="AQ101" s="12">
        <v>10</v>
      </c>
      <c r="AR101" s="12" t="s">
        <v>48</v>
      </c>
      <c r="AS101" s="12">
        <v>0</v>
      </c>
      <c r="AT101" s="14">
        <v>0</v>
      </c>
    </row>
    <row r="102" spans="1:46" x14ac:dyDescent="0.3">
      <c r="A102" s="13">
        <v>101</v>
      </c>
      <c r="B102" s="7">
        <v>2</v>
      </c>
      <c r="C102" s="7" t="s">
        <v>14</v>
      </c>
      <c r="D102" s="7" t="s">
        <v>29</v>
      </c>
      <c r="E102" s="2" t="s">
        <v>42</v>
      </c>
      <c r="F102" s="2">
        <v>1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36">
        <v>0</v>
      </c>
      <c r="T102" s="8">
        <v>9.4</v>
      </c>
      <c r="U102" s="7">
        <v>81</v>
      </c>
      <c r="V102" s="9">
        <v>119</v>
      </c>
      <c r="W102" s="9">
        <v>32</v>
      </c>
      <c r="X102" s="1" t="s">
        <v>40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</v>
      </c>
      <c r="AE102" s="1">
        <v>0</v>
      </c>
      <c r="AF102" s="30">
        <v>10.4</v>
      </c>
      <c r="AG102" s="1" t="s">
        <v>24</v>
      </c>
      <c r="AH102" s="1">
        <v>0</v>
      </c>
      <c r="AI102" s="1">
        <v>0</v>
      </c>
      <c r="AJ102" s="7" t="s">
        <v>19</v>
      </c>
      <c r="AK102" s="1">
        <v>1</v>
      </c>
      <c r="AL102" s="1" t="s">
        <v>25</v>
      </c>
      <c r="AM102" s="1">
        <v>1</v>
      </c>
      <c r="AN102" s="12">
        <v>179613.25</v>
      </c>
      <c r="AO102" s="12">
        <v>18</v>
      </c>
      <c r="AP102" s="12">
        <v>2</v>
      </c>
      <c r="AQ102" s="12">
        <v>16</v>
      </c>
      <c r="AR102" s="12" t="s">
        <v>48</v>
      </c>
      <c r="AS102" s="12">
        <v>0</v>
      </c>
      <c r="AT102" s="14">
        <v>0</v>
      </c>
    </row>
    <row r="103" spans="1:46" ht="26.4" x14ac:dyDescent="0.3">
      <c r="A103" s="13">
        <v>102</v>
      </c>
      <c r="B103" s="7">
        <v>8</v>
      </c>
      <c r="C103" s="7" t="s">
        <v>14</v>
      </c>
      <c r="D103" s="7" t="s">
        <v>29</v>
      </c>
      <c r="E103" s="2" t="s">
        <v>41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1</v>
      </c>
      <c r="Q103" s="2">
        <v>0</v>
      </c>
      <c r="R103" s="2">
        <v>0</v>
      </c>
      <c r="S103" s="36">
        <v>0</v>
      </c>
      <c r="T103" s="8">
        <v>16.600000000000001</v>
      </c>
      <c r="U103" s="7">
        <v>128</v>
      </c>
      <c r="V103" s="9">
        <v>82</v>
      </c>
      <c r="W103" s="9">
        <v>28</v>
      </c>
      <c r="X103" s="35" t="s">
        <v>111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35">
        <v>1</v>
      </c>
      <c r="AF103" s="30">
        <v>16.399999999999999</v>
      </c>
      <c r="AG103" s="1" t="s">
        <v>24</v>
      </c>
      <c r="AH103" s="1">
        <v>0</v>
      </c>
      <c r="AI103" s="1">
        <v>0</v>
      </c>
      <c r="AJ103" s="7" t="s">
        <v>19</v>
      </c>
      <c r="AK103" s="1">
        <v>1</v>
      </c>
      <c r="AL103" s="1" t="s">
        <v>25</v>
      </c>
      <c r="AM103" s="1">
        <v>1</v>
      </c>
      <c r="AN103" s="12">
        <v>151156.52000000002</v>
      </c>
      <c r="AO103" s="12">
        <v>10</v>
      </c>
      <c r="AP103" s="12">
        <v>2</v>
      </c>
      <c r="AQ103" s="12">
        <v>8</v>
      </c>
      <c r="AR103" s="12" t="s">
        <v>48</v>
      </c>
      <c r="AS103" s="12">
        <v>0</v>
      </c>
      <c r="AT103" s="14">
        <v>0</v>
      </c>
    </row>
    <row r="104" spans="1:46" x14ac:dyDescent="0.3">
      <c r="A104" s="13">
        <v>103</v>
      </c>
      <c r="B104" s="7">
        <v>2</v>
      </c>
      <c r="C104" s="7" t="s">
        <v>14</v>
      </c>
      <c r="D104" s="7" t="s">
        <v>29</v>
      </c>
      <c r="E104" s="2" t="s">
        <v>38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0</v>
      </c>
      <c r="S104" s="36">
        <v>0</v>
      </c>
      <c r="T104" s="8">
        <v>10</v>
      </c>
      <c r="U104" s="7">
        <v>74</v>
      </c>
      <c r="V104" s="9">
        <v>98</v>
      </c>
      <c r="W104" s="9">
        <v>24</v>
      </c>
      <c r="X104" s="35" t="s">
        <v>111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35">
        <v>1</v>
      </c>
      <c r="AF104" s="30">
        <v>9.6</v>
      </c>
      <c r="AG104" s="1" t="s">
        <v>24</v>
      </c>
      <c r="AH104" s="1">
        <v>0</v>
      </c>
      <c r="AI104" s="1">
        <v>0</v>
      </c>
      <c r="AJ104" s="7" t="s">
        <v>19</v>
      </c>
      <c r="AK104" s="1">
        <v>1</v>
      </c>
      <c r="AL104" s="1" t="s">
        <v>25</v>
      </c>
      <c r="AM104" s="1">
        <v>1</v>
      </c>
      <c r="AN104" s="12">
        <v>189701.55</v>
      </c>
      <c r="AO104" s="12">
        <v>15</v>
      </c>
      <c r="AP104" s="12">
        <v>4</v>
      </c>
      <c r="AQ104" s="12">
        <v>11</v>
      </c>
      <c r="AR104" s="12" t="s">
        <v>48</v>
      </c>
      <c r="AS104" s="12">
        <v>0</v>
      </c>
      <c r="AT104" s="14">
        <v>0</v>
      </c>
    </row>
    <row r="105" spans="1:46" ht="26.4" x14ac:dyDescent="0.3">
      <c r="A105" s="13">
        <v>104</v>
      </c>
      <c r="B105" s="7">
        <v>3</v>
      </c>
      <c r="C105" s="7" t="s">
        <v>14</v>
      </c>
      <c r="D105" s="7" t="s">
        <v>29</v>
      </c>
      <c r="E105" s="2" t="s">
        <v>41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1</v>
      </c>
      <c r="Q105" s="2">
        <v>0</v>
      </c>
      <c r="R105" s="2">
        <v>0</v>
      </c>
      <c r="S105" s="36">
        <v>0</v>
      </c>
      <c r="T105" s="8">
        <v>13.3</v>
      </c>
      <c r="U105" s="7">
        <v>88</v>
      </c>
      <c r="V105" s="9">
        <v>120</v>
      </c>
      <c r="W105" s="9">
        <v>22</v>
      </c>
      <c r="X105" s="1" t="s">
        <v>40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1</v>
      </c>
      <c r="AE105" s="1">
        <v>0</v>
      </c>
      <c r="AF105" s="30">
        <v>20.7</v>
      </c>
      <c r="AG105" s="1" t="s">
        <v>24</v>
      </c>
      <c r="AH105" s="1">
        <v>0</v>
      </c>
      <c r="AI105" s="1">
        <v>0</v>
      </c>
      <c r="AJ105" s="7" t="s">
        <v>19</v>
      </c>
      <c r="AK105" s="1">
        <v>1</v>
      </c>
      <c r="AL105" s="1" t="s">
        <v>25</v>
      </c>
      <c r="AM105" s="1">
        <v>1</v>
      </c>
      <c r="AN105" s="12">
        <v>169951</v>
      </c>
      <c r="AO105" s="12">
        <v>11</v>
      </c>
      <c r="AP105" s="12">
        <v>2</v>
      </c>
      <c r="AQ105" s="12">
        <v>9</v>
      </c>
      <c r="AR105" s="12" t="s">
        <v>48</v>
      </c>
      <c r="AS105" s="12">
        <v>0</v>
      </c>
      <c r="AT105" s="14">
        <v>0</v>
      </c>
    </row>
    <row r="106" spans="1:46" x14ac:dyDescent="0.3">
      <c r="A106" s="13">
        <v>105</v>
      </c>
      <c r="B106" s="7">
        <v>46</v>
      </c>
      <c r="C106" s="7" t="s">
        <v>27</v>
      </c>
      <c r="D106" s="7" t="s">
        <v>15</v>
      </c>
      <c r="E106" s="2" t="s">
        <v>28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1</v>
      </c>
      <c r="S106" s="36">
        <v>0</v>
      </c>
      <c r="T106" s="8">
        <v>53.5</v>
      </c>
      <c r="U106" s="7">
        <v>167</v>
      </c>
      <c r="V106" s="9">
        <v>110</v>
      </c>
      <c r="W106" s="9">
        <v>24</v>
      </c>
      <c r="X106" s="35" t="s">
        <v>111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35">
        <v>1</v>
      </c>
      <c r="AF106" s="30">
        <v>10.8</v>
      </c>
      <c r="AG106" s="1" t="s">
        <v>24</v>
      </c>
      <c r="AH106" s="1">
        <v>0</v>
      </c>
      <c r="AI106" s="1">
        <v>0</v>
      </c>
      <c r="AJ106" s="7" t="s">
        <v>19</v>
      </c>
      <c r="AK106" s="1">
        <v>1</v>
      </c>
      <c r="AL106" s="1" t="s">
        <v>25</v>
      </c>
      <c r="AM106" s="1">
        <v>1</v>
      </c>
      <c r="AN106" s="12">
        <v>220519</v>
      </c>
      <c r="AO106" s="12">
        <v>11</v>
      </c>
      <c r="AP106" s="12">
        <v>1</v>
      </c>
      <c r="AQ106" s="12">
        <v>10</v>
      </c>
      <c r="AR106" s="12" t="s">
        <v>47</v>
      </c>
      <c r="AS106" s="12">
        <v>1</v>
      </c>
      <c r="AT106" s="14">
        <v>51450</v>
      </c>
    </row>
    <row r="107" spans="1:46" x14ac:dyDescent="0.3">
      <c r="A107" s="13">
        <v>106</v>
      </c>
      <c r="B107" s="7">
        <v>45</v>
      </c>
      <c r="C107" s="7" t="s">
        <v>27</v>
      </c>
      <c r="D107" s="7" t="s">
        <v>15</v>
      </c>
      <c r="E107" s="2" t="s">
        <v>16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1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36">
        <v>0</v>
      </c>
      <c r="T107" s="8">
        <v>41</v>
      </c>
      <c r="U107" s="7">
        <v>152</v>
      </c>
      <c r="V107" s="9">
        <v>88</v>
      </c>
      <c r="W107" s="9">
        <v>20</v>
      </c>
      <c r="X107" s="35" t="s">
        <v>111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35">
        <v>1</v>
      </c>
      <c r="AF107" s="30">
        <v>13.1</v>
      </c>
      <c r="AG107" s="1" t="s">
        <v>24</v>
      </c>
      <c r="AH107" s="1">
        <v>0</v>
      </c>
      <c r="AI107" s="1">
        <v>0</v>
      </c>
      <c r="AJ107" s="7" t="s">
        <v>19</v>
      </c>
      <c r="AK107" s="1">
        <v>1</v>
      </c>
      <c r="AL107" s="1" t="s">
        <v>25</v>
      </c>
      <c r="AM107" s="1">
        <v>1</v>
      </c>
      <c r="AN107" s="12">
        <v>139723</v>
      </c>
      <c r="AO107" s="12">
        <v>7</v>
      </c>
      <c r="AP107" s="12">
        <v>3</v>
      </c>
      <c r="AQ107" s="12">
        <v>4</v>
      </c>
      <c r="AR107" s="12" t="s">
        <v>48</v>
      </c>
      <c r="AS107" s="12">
        <v>0</v>
      </c>
      <c r="AT107" s="14">
        <v>0</v>
      </c>
    </row>
    <row r="108" spans="1:46" x14ac:dyDescent="0.3">
      <c r="A108" s="13">
        <v>107</v>
      </c>
      <c r="B108" s="7">
        <v>48</v>
      </c>
      <c r="C108" s="7" t="s">
        <v>27</v>
      </c>
      <c r="D108" s="7" t="s">
        <v>15</v>
      </c>
      <c r="E108" s="2" t="s">
        <v>42</v>
      </c>
      <c r="F108" s="2">
        <v>1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36">
        <v>0</v>
      </c>
      <c r="T108" s="8">
        <v>42</v>
      </c>
      <c r="U108" s="7">
        <v>154</v>
      </c>
      <c r="V108" s="9">
        <v>76</v>
      </c>
      <c r="W108" s="9">
        <v>24</v>
      </c>
      <c r="X108" s="35" t="s">
        <v>111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35">
        <v>1</v>
      </c>
      <c r="AF108" s="30">
        <v>11.2</v>
      </c>
      <c r="AG108" s="1" t="s">
        <v>24</v>
      </c>
      <c r="AH108" s="1">
        <v>0</v>
      </c>
      <c r="AI108" s="1">
        <v>0</v>
      </c>
      <c r="AJ108" s="7" t="s">
        <v>19</v>
      </c>
      <c r="AK108" s="1">
        <v>1</v>
      </c>
      <c r="AL108" s="1" t="s">
        <v>25</v>
      </c>
      <c r="AM108" s="1">
        <v>1</v>
      </c>
      <c r="AN108" s="12">
        <v>119685.64</v>
      </c>
      <c r="AO108" s="12">
        <v>6</v>
      </c>
      <c r="AP108" s="12">
        <v>2</v>
      </c>
      <c r="AQ108" s="12">
        <v>4</v>
      </c>
      <c r="AR108" s="12" t="s">
        <v>48</v>
      </c>
      <c r="AS108" s="12">
        <v>0</v>
      </c>
      <c r="AT108" s="14">
        <v>0</v>
      </c>
    </row>
    <row r="109" spans="1:46" x14ac:dyDescent="0.3">
      <c r="A109" s="13">
        <v>108</v>
      </c>
      <c r="B109" s="7">
        <v>41</v>
      </c>
      <c r="C109" s="7" t="s">
        <v>27</v>
      </c>
      <c r="D109" s="7" t="s">
        <v>15</v>
      </c>
      <c r="E109" s="2" t="s">
        <v>28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1</v>
      </c>
      <c r="S109" s="36">
        <v>0</v>
      </c>
      <c r="T109" s="8">
        <v>63.6</v>
      </c>
      <c r="U109" s="7">
        <v>162</v>
      </c>
      <c r="V109" s="9">
        <v>62</v>
      </c>
      <c r="W109" s="9">
        <v>22</v>
      </c>
      <c r="X109" s="35" t="s">
        <v>111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35">
        <v>1</v>
      </c>
      <c r="AF109" s="30">
        <v>13.6</v>
      </c>
      <c r="AG109" s="1" t="s">
        <v>24</v>
      </c>
      <c r="AH109" s="1">
        <v>0</v>
      </c>
      <c r="AI109" s="1">
        <v>0</v>
      </c>
      <c r="AJ109" s="7" t="s">
        <v>19</v>
      </c>
      <c r="AK109" s="1">
        <v>1</v>
      </c>
      <c r="AL109" s="1" t="s">
        <v>25</v>
      </c>
      <c r="AM109" s="1">
        <v>1</v>
      </c>
      <c r="AN109" s="12">
        <v>253471</v>
      </c>
      <c r="AO109" s="12">
        <v>10</v>
      </c>
      <c r="AP109" s="12">
        <v>1</v>
      </c>
      <c r="AQ109" s="12">
        <v>9</v>
      </c>
      <c r="AR109" s="12" t="s">
        <v>47</v>
      </c>
      <c r="AS109" s="12">
        <v>1</v>
      </c>
      <c r="AT109" s="14">
        <v>82320</v>
      </c>
    </row>
    <row r="110" spans="1:46" x14ac:dyDescent="0.3">
      <c r="A110" s="13">
        <v>109</v>
      </c>
      <c r="B110" s="7">
        <v>7</v>
      </c>
      <c r="C110" s="7" t="s">
        <v>14</v>
      </c>
      <c r="D110" s="7" t="s">
        <v>29</v>
      </c>
      <c r="E110" s="2" t="s">
        <v>16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1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36">
        <v>0</v>
      </c>
      <c r="T110" s="8">
        <v>15.8</v>
      </c>
      <c r="U110" s="7">
        <v>106</v>
      </c>
      <c r="V110" s="9">
        <v>90</v>
      </c>
      <c r="W110" s="9">
        <v>22</v>
      </c>
      <c r="X110" s="1" t="s">
        <v>40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1</v>
      </c>
      <c r="AE110" s="1">
        <v>0</v>
      </c>
      <c r="AF110" s="30">
        <v>11.4</v>
      </c>
      <c r="AG110" s="1" t="s">
        <v>24</v>
      </c>
      <c r="AH110" s="1">
        <v>0</v>
      </c>
      <c r="AI110" s="1">
        <v>0</v>
      </c>
      <c r="AJ110" s="7" t="s">
        <v>19</v>
      </c>
      <c r="AK110" s="1">
        <v>1</v>
      </c>
      <c r="AL110" s="1" t="s">
        <v>25</v>
      </c>
      <c r="AM110" s="1">
        <v>1</v>
      </c>
      <c r="AN110" s="12">
        <v>129684</v>
      </c>
      <c r="AO110" s="12">
        <v>8</v>
      </c>
      <c r="AP110" s="12">
        <v>1</v>
      </c>
      <c r="AQ110" s="12">
        <v>7</v>
      </c>
      <c r="AR110" s="12" t="s">
        <v>48</v>
      </c>
      <c r="AS110" s="12">
        <v>0</v>
      </c>
      <c r="AT110" s="14">
        <v>0</v>
      </c>
    </row>
    <row r="111" spans="1:46" x14ac:dyDescent="0.3">
      <c r="A111" s="13">
        <v>110</v>
      </c>
      <c r="B111" s="7">
        <v>4</v>
      </c>
      <c r="C111" s="7" t="s">
        <v>27</v>
      </c>
      <c r="D111" s="7" t="s">
        <v>29</v>
      </c>
      <c r="E111" s="2" t="s">
        <v>16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1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36">
        <v>0</v>
      </c>
      <c r="T111" s="8">
        <v>10.5</v>
      </c>
      <c r="U111" s="7">
        <v>93</v>
      </c>
      <c r="V111" s="9">
        <v>104</v>
      </c>
      <c r="W111" s="9">
        <v>24</v>
      </c>
      <c r="X111" s="35" t="s">
        <v>111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35">
        <v>1</v>
      </c>
      <c r="AF111" s="30">
        <v>16.100000000000001</v>
      </c>
      <c r="AG111" s="1" t="s">
        <v>24</v>
      </c>
      <c r="AH111" s="1">
        <v>0</v>
      </c>
      <c r="AI111" s="1">
        <v>0</v>
      </c>
      <c r="AJ111" s="7" t="s">
        <v>19</v>
      </c>
      <c r="AK111" s="1">
        <v>1</v>
      </c>
      <c r="AL111" s="1" t="s">
        <v>25</v>
      </c>
      <c r="AM111" s="1">
        <v>1</v>
      </c>
      <c r="AN111" s="12">
        <v>167122</v>
      </c>
      <c r="AO111" s="12">
        <v>9</v>
      </c>
      <c r="AP111" s="12">
        <v>2</v>
      </c>
      <c r="AQ111" s="12">
        <v>7</v>
      </c>
      <c r="AR111" s="12" t="s">
        <v>48</v>
      </c>
      <c r="AS111" s="12">
        <v>0</v>
      </c>
      <c r="AT111" s="14">
        <v>0</v>
      </c>
    </row>
    <row r="112" spans="1:46" x14ac:dyDescent="0.3">
      <c r="A112" s="13">
        <v>111</v>
      </c>
      <c r="B112" s="7">
        <v>69</v>
      </c>
      <c r="C112" s="7" t="s">
        <v>14</v>
      </c>
      <c r="D112" s="7" t="s">
        <v>15</v>
      </c>
      <c r="E112" s="2" t="s">
        <v>16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1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36">
        <v>0</v>
      </c>
      <c r="T112" s="8">
        <v>60</v>
      </c>
      <c r="U112" s="7">
        <v>185</v>
      </c>
      <c r="V112" s="9">
        <v>90</v>
      </c>
      <c r="W112" s="9">
        <v>22</v>
      </c>
      <c r="X112" s="35" t="s">
        <v>111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35">
        <v>1</v>
      </c>
      <c r="AF112" s="30">
        <v>9.6</v>
      </c>
      <c r="AG112" s="1" t="s">
        <v>24</v>
      </c>
      <c r="AH112" s="1">
        <v>0</v>
      </c>
      <c r="AI112" s="1">
        <v>0</v>
      </c>
      <c r="AJ112" s="7" t="s">
        <v>19</v>
      </c>
      <c r="AK112" s="1">
        <v>1</v>
      </c>
      <c r="AL112" s="1" t="s">
        <v>25</v>
      </c>
      <c r="AM112" s="1">
        <v>1</v>
      </c>
      <c r="AN112" s="12">
        <v>276458</v>
      </c>
      <c r="AO112" s="12">
        <v>6</v>
      </c>
      <c r="AP112" s="12">
        <v>5</v>
      </c>
      <c r="AQ112" s="12">
        <v>1</v>
      </c>
      <c r="AR112" s="12" t="s">
        <v>47</v>
      </c>
      <c r="AS112" s="12">
        <v>1</v>
      </c>
      <c r="AT112" s="14">
        <v>38000</v>
      </c>
    </row>
    <row r="113" spans="1:46" x14ac:dyDescent="0.3">
      <c r="A113" s="13">
        <v>112</v>
      </c>
      <c r="B113" s="7">
        <v>6</v>
      </c>
      <c r="C113" s="7" t="s">
        <v>14</v>
      </c>
      <c r="D113" s="7" t="s">
        <v>29</v>
      </c>
      <c r="E113" s="2" t="s">
        <v>42</v>
      </c>
      <c r="F113" s="2">
        <v>1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36">
        <v>0</v>
      </c>
      <c r="T113" s="8">
        <v>17.8</v>
      </c>
      <c r="U113" s="7">
        <v>115</v>
      </c>
      <c r="V113" s="9">
        <v>75</v>
      </c>
      <c r="W113" s="9">
        <v>22</v>
      </c>
      <c r="X113" s="35" t="s">
        <v>111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35">
        <v>1</v>
      </c>
      <c r="AF113" s="30">
        <v>10.3</v>
      </c>
      <c r="AG113" s="1" t="s">
        <v>24</v>
      </c>
      <c r="AH113" s="1">
        <v>0</v>
      </c>
      <c r="AI113" s="1">
        <v>0</v>
      </c>
      <c r="AJ113" s="7" t="s">
        <v>19</v>
      </c>
      <c r="AK113" s="1">
        <v>1</v>
      </c>
      <c r="AL113" s="1" t="s">
        <v>25</v>
      </c>
      <c r="AM113" s="1">
        <v>1</v>
      </c>
      <c r="AN113" s="12">
        <v>150337</v>
      </c>
      <c r="AO113" s="12">
        <v>9</v>
      </c>
      <c r="AP113" s="12">
        <v>2</v>
      </c>
      <c r="AQ113" s="12">
        <v>7</v>
      </c>
      <c r="AR113" s="12" t="s">
        <v>48</v>
      </c>
      <c r="AS113" s="12">
        <v>0</v>
      </c>
      <c r="AT113" s="14">
        <v>0</v>
      </c>
    </row>
    <row r="114" spans="1:46" x14ac:dyDescent="0.3">
      <c r="A114" s="13">
        <v>113</v>
      </c>
      <c r="B114" s="7">
        <v>44</v>
      </c>
      <c r="C114" s="7" t="s">
        <v>27</v>
      </c>
      <c r="D114" s="7" t="s">
        <v>15</v>
      </c>
      <c r="E114" s="2" t="s">
        <v>42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36">
        <v>0</v>
      </c>
      <c r="T114" s="8">
        <v>60</v>
      </c>
      <c r="U114" s="7">
        <v>157</v>
      </c>
      <c r="V114" s="9">
        <v>86</v>
      </c>
      <c r="W114" s="9">
        <v>22</v>
      </c>
      <c r="X114" s="1" t="s">
        <v>31</v>
      </c>
      <c r="Y114" s="1">
        <v>0</v>
      </c>
      <c r="Z114" s="1">
        <v>0</v>
      </c>
      <c r="AA114" s="1">
        <v>0</v>
      </c>
      <c r="AB114" s="1">
        <v>1</v>
      </c>
      <c r="AC114" s="1">
        <v>0</v>
      </c>
      <c r="AD114" s="1">
        <v>0</v>
      </c>
      <c r="AE114" s="1">
        <v>0</v>
      </c>
      <c r="AF114" s="30">
        <v>15.4</v>
      </c>
      <c r="AG114" s="1" t="s">
        <v>24</v>
      </c>
      <c r="AH114" s="1">
        <v>0</v>
      </c>
      <c r="AI114" s="1">
        <v>0</v>
      </c>
      <c r="AJ114" s="7" t="s">
        <v>19</v>
      </c>
      <c r="AK114" s="1">
        <v>1</v>
      </c>
      <c r="AL114" s="1" t="s">
        <v>25</v>
      </c>
      <c r="AM114" s="1">
        <v>1</v>
      </c>
      <c r="AN114" s="12">
        <v>138093.02000000002</v>
      </c>
      <c r="AO114" s="12">
        <v>7</v>
      </c>
      <c r="AP114" s="12">
        <v>2</v>
      </c>
      <c r="AQ114" s="12">
        <v>5</v>
      </c>
      <c r="AR114" s="12" t="s">
        <v>48</v>
      </c>
      <c r="AS114" s="12">
        <v>0</v>
      </c>
      <c r="AT114" s="14">
        <v>0</v>
      </c>
    </row>
    <row r="115" spans="1:46" x14ac:dyDescent="0.3">
      <c r="A115" s="13">
        <v>114</v>
      </c>
      <c r="B115" s="7">
        <v>9</v>
      </c>
      <c r="C115" s="7" t="s">
        <v>27</v>
      </c>
      <c r="D115" s="7" t="s">
        <v>29</v>
      </c>
      <c r="E115" s="2" t="s">
        <v>16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1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36">
        <v>0</v>
      </c>
      <c r="T115" s="8">
        <v>4.9000000000000004</v>
      </c>
      <c r="U115" s="7">
        <v>71</v>
      </c>
      <c r="V115" s="9">
        <v>104</v>
      </c>
      <c r="W115" s="9">
        <v>24</v>
      </c>
      <c r="X115" s="35" t="s">
        <v>111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35">
        <v>1</v>
      </c>
      <c r="AF115" s="30">
        <v>11.5</v>
      </c>
      <c r="AG115" s="1" t="s">
        <v>24</v>
      </c>
      <c r="AH115" s="1">
        <v>0</v>
      </c>
      <c r="AI115" s="1">
        <v>0</v>
      </c>
      <c r="AJ115" s="7" t="s">
        <v>19</v>
      </c>
      <c r="AK115" s="1">
        <v>1</v>
      </c>
      <c r="AL115" s="1" t="s">
        <v>25</v>
      </c>
      <c r="AM115" s="1">
        <v>1</v>
      </c>
      <c r="AN115" s="12">
        <v>178398</v>
      </c>
      <c r="AO115" s="12">
        <v>12</v>
      </c>
      <c r="AP115" s="12">
        <v>3</v>
      </c>
      <c r="AQ115" s="12">
        <v>9</v>
      </c>
      <c r="AR115" s="12" t="s">
        <v>48</v>
      </c>
      <c r="AS115" s="12">
        <v>0</v>
      </c>
      <c r="AT115" s="14">
        <v>0</v>
      </c>
    </row>
    <row r="116" spans="1:46" x14ac:dyDescent="0.3">
      <c r="A116" s="13">
        <v>115</v>
      </c>
      <c r="B116" s="7">
        <v>36</v>
      </c>
      <c r="C116" s="7" t="s">
        <v>14</v>
      </c>
      <c r="D116" s="7" t="s">
        <v>15</v>
      </c>
      <c r="E116" s="2" t="s">
        <v>28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1</v>
      </c>
      <c r="S116" s="36">
        <v>0</v>
      </c>
      <c r="T116" s="8">
        <v>50</v>
      </c>
      <c r="U116" s="7">
        <v>168</v>
      </c>
      <c r="V116" s="9">
        <v>60</v>
      </c>
      <c r="W116" s="9">
        <v>24</v>
      </c>
      <c r="X116" s="35" t="s">
        <v>111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35">
        <v>1</v>
      </c>
      <c r="AF116" s="30">
        <v>13.3</v>
      </c>
      <c r="AG116" s="1" t="s">
        <v>24</v>
      </c>
      <c r="AH116" s="1">
        <v>0</v>
      </c>
      <c r="AI116" s="1">
        <v>0</v>
      </c>
      <c r="AJ116" s="7" t="s">
        <v>19</v>
      </c>
      <c r="AK116" s="1">
        <v>1</v>
      </c>
      <c r="AL116" s="1" t="s">
        <v>25</v>
      </c>
      <c r="AM116" s="1">
        <v>1</v>
      </c>
      <c r="AN116" s="12">
        <v>180870</v>
      </c>
      <c r="AO116" s="12">
        <v>8</v>
      </c>
      <c r="AP116" s="12">
        <v>1</v>
      </c>
      <c r="AQ116" s="12">
        <v>7</v>
      </c>
      <c r="AR116" s="12" t="s">
        <v>47</v>
      </c>
      <c r="AS116" s="12">
        <v>1</v>
      </c>
      <c r="AT116" s="14">
        <v>20900</v>
      </c>
    </row>
    <row r="117" spans="1:46" x14ac:dyDescent="0.3">
      <c r="A117" s="13">
        <v>116</v>
      </c>
      <c r="B117" s="7">
        <v>37</v>
      </c>
      <c r="C117" s="7" t="s">
        <v>14</v>
      </c>
      <c r="D117" s="7" t="s">
        <v>15</v>
      </c>
      <c r="E117" s="2" t="s">
        <v>16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1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36">
        <v>0</v>
      </c>
      <c r="T117" s="8">
        <v>46</v>
      </c>
      <c r="U117" s="7">
        <v>62</v>
      </c>
      <c r="V117" s="9">
        <v>96</v>
      </c>
      <c r="W117" s="9">
        <v>20</v>
      </c>
      <c r="X117" s="35" t="s">
        <v>111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35">
        <v>1</v>
      </c>
      <c r="AF117" s="30">
        <v>5</v>
      </c>
      <c r="AG117" s="1" t="s">
        <v>24</v>
      </c>
      <c r="AH117" s="1">
        <v>0</v>
      </c>
      <c r="AI117" s="1">
        <v>0</v>
      </c>
      <c r="AJ117" s="7" t="s">
        <v>19</v>
      </c>
      <c r="AK117" s="1">
        <v>1</v>
      </c>
      <c r="AL117" s="1" t="s">
        <v>25</v>
      </c>
      <c r="AM117" s="1">
        <v>1</v>
      </c>
      <c r="AN117" s="12">
        <v>182651</v>
      </c>
      <c r="AO117" s="12">
        <v>10</v>
      </c>
      <c r="AP117" s="12">
        <v>2</v>
      </c>
      <c r="AQ117" s="12">
        <v>8</v>
      </c>
      <c r="AR117" s="12" t="s">
        <v>47</v>
      </c>
      <c r="AS117" s="12">
        <v>1</v>
      </c>
      <c r="AT117" s="14">
        <v>56000</v>
      </c>
    </row>
    <row r="118" spans="1:46" x14ac:dyDescent="0.3">
      <c r="A118" s="13">
        <v>117</v>
      </c>
      <c r="B118" s="7">
        <v>16</v>
      </c>
      <c r="C118" s="7" t="s">
        <v>27</v>
      </c>
      <c r="D118" s="7" t="s">
        <v>29</v>
      </c>
      <c r="E118" s="2" t="s">
        <v>16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36">
        <v>0</v>
      </c>
      <c r="T118" s="8">
        <v>41</v>
      </c>
      <c r="U118" s="7">
        <v>162</v>
      </c>
      <c r="V118" s="9">
        <v>74</v>
      </c>
      <c r="W118" s="9">
        <v>24</v>
      </c>
      <c r="X118" s="35" t="s">
        <v>111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35">
        <v>1</v>
      </c>
      <c r="AF118" s="30">
        <v>12.4</v>
      </c>
      <c r="AG118" s="1" t="s">
        <v>24</v>
      </c>
      <c r="AH118" s="1">
        <v>0</v>
      </c>
      <c r="AI118" s="1">
        <v>0</v>
      </c>
      <c r="AJ118" s="7" t="s">
        <v>19</v>
      </c>
      <c r="AK118" s="1">
        <v>1</v>
      </c>
      <c r="AL118" s="1" t="s">
        <v>25</v>
      </c>
      <c r="AM118" s="1">
        <v>1</v>
      </c>
      <c r="AN118" s="12">
        <v>323960</v>
      </c>
      <c r="AO118" s="12">
        <v>12</v>
      </c>
      <c r="AP118" s="12">
        <v>2</v>
      </c>
      <c r="AQ118" s="12">
        <v>10</v>
      </c>
      <c r="AR118" s="12" t="s">
        <v>47</v>
      </c>
      <c r="AS118" s="12">
        <v>1</v>
      </c>
      <c r="AT118" s="14">
        <v>77450</v>
      </c>
    </row>
    <row r="119" spans="1:46" x14ac:dyDescent="0.3">
      <c r="A119" s="13">
        <v>118</v>
      </c>
      <c r="B119" s="7">
        <v>5</v>
      </c>
      <c r="C119" s="7" t="s">
        <v>14</v>
      </c>
      <c r="D119" s="7" t="s">
        <v>29</v>
      </c>
      <c r="E119" s="2" t="s">
        <v>16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36">
        <v>0</v>
      </c>
      <c r="T119" s="8">
        <v>3.3</v>
      </c>
      <c r="U119" s="7">
        <v>22</v>
      </c>
      <c r="V119" s="9">
        <v>140</v>
      </c>
      <c r="W119" s="9">
        <v>30</v>
      </c>
      <c r="X119" s="1" t="s">
        <v>40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1</v>
      </c>
      <c r="AE119" s="1">
        <v>0</v>
      </c>
      <c r="AF119" s="30">
        <v>12.7</v>
      </c>
      <c r="AG119" s="1" t="s">
        <v>24</v>
      </c>
      <c r="AH119" s="1">
        <v>0</v>
      </c>
      <c r="AI119" s="1">
        <v>0</v>
      </c>
      <c r="AJ119" s="7" t="s">
        <v>19</v>
      </c>
      <c r="AK119" s="1">
        <v>1</v>
      </c>
      <c r="AL119" s="1" t="s">
        <v>25</v>
      </c>
      <c r="AM119" s="1">
        <v>1</v>
      </c>
      <c r="AN119" s="12">
        <v>159327.38</v>
      </c>
      <c r="AO119" s="12">
        <v>19</v>
      </c>
      <c r="AP119" s="12">
        <v>4</v>
      </c>
      <c r="AQ119" s="12">
        <v>15</v>
      </c>
      <c r="AR119" s="12" t="s">
        <v>48</v>
      </c>
      <c r="AS119" s="12">
        <v>0</v>
      </c>
      <c r="AT119" s="14">
        <v>0</v>
      </c>
    </row>
    <row r="120" spans="1:46" ht="26.4" x14ac:dyDescent="0.3">
      <c r="A120" s="13">
        <v>119</v>
      </c>
      <c r="B120" s="7">
        <v>5</v>
      </c>
      <c r="C120" s="7" t="s">
        <v>14</v>
      </c>
      <c r="D120" s="7" t="s">
        <v>29</v>
      </c>
      <c r="E120" s="2" t="s">
        <v>34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1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36">
        <v>0</v>
      </c>
      <c r="T120" s="8">
        <v>15.4</v>
      </c>
      <c r="U120" s="7">
        <v>98</v>
      </c>
      <c r="V120" s="9">
        <v>123</v>
      </c>
      <c r="W120" s="9">
        <v>24</v>
      </c>
      <c r="X120" s="35" t="s">
        <v>111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35">
        <v>1</v>
      </c>
      <c r="AF120" s="30">
        <v>22.8</v>
      </c>
      <c r="AG120" s="1" t="s">
        <v>24</v>
      </c>
      <c r="AH120" s="1">
        <v>0</v>
      </c>
      <c r="AI120" s="1">
        <v>0</v>
      </c>
      <c r="AJ120" s="7" t="s">
        <v>19</v>
      </c>
      <c r="AK120" s="1">
        <v>1</v>
      </c>
      <c r="AL120" s="1" t="s">
        <v>25</v>
      </c>
      <c r="AM120" s="1">
        <v>1</v>
      </c>
      <c r="AN120" s="12">
        <v>131430</v>
      </c>
      <c r="AO120" s="12">
        <v>11</v>
      </c>
      <c r="AP120" s="12">
        <v>3</v>
      </c>
      <c r="AQ120" s="12">
        <v>8</v>
      </c>
      <c r="AR120" s="12" t="s">
        <v>48</v>
      </c>
      <c r="AS120" s="12">
        <v>0</v>
      </c>
      <c r="AT120" s="14">
        <v>0</v>
      </c>
    </row>
    <row r="121" spans="1:46" ht="26.4" x14ac:dyDescent="0.3">
      <c r="A121" s="13">
        <v>120</v>
      </c>
      <c r="B121" s="7">
        <v>3</v>
      </c>
      <c r="C121" s="7" t="s">
        <v>27</v>
      </c>
      <c r="D121" s="7" t="s">
        <v>29</v>
      </c>
      <c r="E121" s="2" t="s">
        <v>41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1</v>
      </c>
      <c r="Q121" s="2">
        <v>0</v>
      </c>
      <c r="R121" s="2">
        <v>0</v>
      </c>
      <c r="S121" s="36">
        <v>0</v>
      </c>
      <c r="T121" s="8">
        <v>10</v>
      </c>
      <c r="U121" s="7">
        <v>85</v>
      </c>
      <c r="V121" s="9">
        <v>116</v>
      </c>
      <c r="W121" s="9">
        <v>24</v>
      </c>
      <c r="X121" s="35" t="s">
        <v>111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35">
        <v>1</v>
      </c>
      <c r="AF121" s="30">
        <v>18.5</v>
      </c>
      <c r="AG121" s="1" t="s">
        <v>24</v>
      </c>
      <c r="AH121" s="1">
        <v>0</v>
      </c>
      <c r="AI121" s="1">
        <v>0</v>
      </c>
      <c r="AJ121" s="7" t="s">
        <v>19</v>
      </c>
      <c r="AK121" s="1">
        <v>1</v>
      </c>
      <c r="AL121" s="1" t="s">
        <v>25</v>
      </c>
      <c r="AM121" s="1">
        <v>1</v>
      </c>
      <c r="AN121" s="12">
        <v>180415.66999999998</v>
      </c>
      <c r="AO121" s="12">
        <v>13</v>
      </c>
      <c r="AP121" s="12">
        <v>3</v>
      </c>
      <c r="AQ121" s="12">
        <v>10</v>
      </c>
      <c r="AR121" s="12" t="s">
        <v>48</v>
      </c>
      <c r="AS121" s="12">
        <v>0</v>
      </c>
      <c r="AT121" s="14">
        <v>0</v>
      </c>
    </row>
    <row r="122" spans="1:46" x14ac:dyDescent="0.3">
      <c r="A122" s="13">
        <v>121</v>
      </c>
      <c r="B122" s="7">
        <v>51</v>
      </c>
      <c r="C122" s="7" t="s">
        <v>14</v>
      </c>
      <c r="D122" s="7" t="s">
        <v>15</v>
      </c>
      <c r="E122" s="2" t="s">
        <v>22</v>
      </c>
      <c r="F122" s="2">
        <v>0</v>
      </c>
      <c r="G122" s="2">
        <v>0</v>
      </c>
      <c r="H122" s="2">
        <v>0</v>
      </c>
      <c r="I122" s="2">
        <v>1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36">
        <v>0</v>
      </c>
      <c r="T122" s="8">
        <v>64</v>
      </c>
      <c r="U122" s="7">
        <v>168</v>
      </c>
      <c r="V122" s="9">
        <v>80</v>
      </c>
      <c r="W122" s="9">
        <v>24</v>
      </c>
      <c r="X122" s="1" t="s">
        <v>31</v>
      </c>
      <c r="Y122" s="1">
        <v>0</v>
      </c>
      <c r="Z122" s="1">
        <v>0</v>
      </c>
      <c r="AA122" s="1">
        <v>0</v>
      </c>
      <c r="AB122" s="1">
        <v>1</v>
      </c>
      <c r="AC122" s="1">
        <v>0</v>
      </c>
      <c r="AD122" s="1">
        <v>0</v>
      </c>
      <c r="AE122" s="1">
        <v>0</v>
      </c>
      <c r="AF122" s="30">
        <v>11.47</v>
      </c>
      <c r="AG122" s="1" t="s">
        <v>24</v>
      </c>
      <c r="AH122" s="1">
        <v>0</v>
      </c>
      <c r="AI122" s="1">
        <v>0</v>
      </c>
      <c r="AJ122" s="7" t="s">
        <v>19</v>
      </c>
      <c r="AK122" s="1">
        <v>1</v>
      </c>
      <c r="AL122" s="1" t="s">
        <v>25</v>
      </c>
      <c r="AM122" s="1">
        <v>1</v>
      </c>
      <c r="AN122" s="12">
        <v>139067</v>
      </c>
      <c r="AO122" s="12">
        <v>7</v>
      </c>
      <c r="AP122" s="12">
        <v>3</v>
      </c>
      <c r="AQ122" s="12">
        <v>4</v>
      </c>
      <c r="AR122" s="12" t="s">
        <v>48</v>
      </c>
      <c r="AS122" s="12">
        <v>0</v>
      </c>
      <c r="AT122" s="14">
        <v>0</v>
      </c>
    </row>
    <row r="123" spans="1:46" x14ac:dyDescent="0.3">
      <c r="A123" s="13">
        <v>122</v>
      </c>
      <c r="B123" s="7">
        <v>24</v>
      </c>
      <c r="C123" s="7" t="s">
        <v>27</v>
      </c>
      <c r="D123" s="7" t="s">
        <v>15</v>
      </c>
      <c r="E123" s="2" t="s">
        <v>28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1</v>
      </c>
      <c r="S123" s="36">
        <v>0</v>
      </c>
      <c r="T123" s="8">
        <v>43</v>
      </c>
      <c r="U123" s="7">
        <v>159</v>
      </c>
      <c r="V123" s="9">
        <v>68</v>
      </c>
      <c r="W123" s="9">
        <v>22</v>
      </c>
      <c r="X123" s="35" t="s">
        <v>111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35">
        <v>1</v>
      </c>
      <c r="AF123" s="8">
        <v>11</v>
      </c>
      <c r="AG123" s="1" t="s">
        <v>24</v>
      </c>
      <c r="AH123" s="1">
        <v>0</v>
      </c>
      <c r="AI123" s="1">
        <v>0</v>
      </c>
      <c r="AJ123" s="7" t="s">
        <v>19</v>
      </c>
      <c r="AK123" s="1">
        <v>1</v>
      </c>
      <c r="AL123" s="1" t="s">
        <v>25</v>
      </c>
      <c r="AM123" s="1">
        <v>1</v>
      </c>
      <c r="AN123" s="12">
        <v>197865</v>
      </c>
      <c r="AO123" s="12">
        <v>11</v>
      </c>
      <c r="AP123" s="12">
        <v>1</v>
      </c>
      <c r="AQ123" s="12">
        <v>10</v>
      </c>
      <c r="AR123" s="12" t="s">
        <v>47</v>
      </c>
      <c r="AS123" s="12">
        <v>1</v>
      </c>
      <c r="AT123" s="14">
        <v>20900</v>
      </c>
    </row>
    <row r="124" spans="1:46" x14ac:dyDescent="0.3">
      <c r="A124" s="13">
        <v>123</v>
      </c>
      <c r="B124" s="7">
        <v>8</v>
      </c>
      <c r="C124" s="7" t="s">
        <v>14</v>
      </c>
      <c r="D124" s="7" t="s">
        <v>29</v>
      </c>
      <c r="E124" s="2" t="s">
        <v>16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36">
        <v>0</v>
      </c>
      <c r="T124" s="8">
        <v>17.8</v>
      </c>
      <c r="U124" s="7">
        <v>117</v>
      </c>
      <c r="V124" s="9">
        <v>83</v>
      </c>
      <c r="W124" s="9">
        <v>24</v>
      </c>
      <c r="X124" s="35" t="s">
        <v>111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35">
        <v>1</v>
      </c>
      <c r="AF124" s="8">
        <v>8.9</v>
      </c>
      <c r="AG124" s="1" t="s">
        <v>24</v>
      </c>
      <c r="AH124" s="1">
        <v>0</v>
      </c>
      <c r="AI124" s="1">
        <v>0</v>
      </c>
      <c r="AJ124" s="7" t="s">
        <v>19</v>
      </c>
      <c r="AK124" s="1">
        <v>1</v>
      </c>
      <c r="AL124" s="1" t="s">
        <v>25</v>
      </c>
      <c r="AM124" s="1">
        <v>1</v>
      </c>
      <c r="AN124" s="12">
        <v>144900.29999999999</v>
      </c>
      <c r="AO124" s="12">
        <v>14</v>
      </c>
      <c r="AP124" s="12">
        <v>1</v>
      </c>
      <c r="AQ124" s="12">
        <v>13</v>
      </c>
      <c r="AR124" s="12" t="s">
        <v>48</v>
      </c>
      <c r="AS124" s="12">
        <v>0</v>
      </c>
      <c r="AT124" s="14">
        <v>0</v>
      </c>
    </row>
    <row r="125" spans="1:46" x14ac:dyDescent="0.3">
      <c r="A125" s="13">
        <v>124</v>
      </c>
      <c r="B125" s="7">
        <v>4</v>
      </c>
      <c r="C125" s="7" t="s">
        <v>14</v>
      </c>
      <c r="D125" s="7" t="s">
        <v>29</v>
      </c>
      <c r="E125" s="2" t="s">
        <v>16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1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36">
        <v>0</v>
      </c>
      <c r="T125" s="8">
        <v>14.9</v>
      </c>
      <c r="U125" s="7">
        <v>99</v>
      </c>
      <c r="V125" s="9">
        <v>102</v>
      </c>
      <c r="W125" s="9">
        <v>24</v>
      </c>
      <c r="X125" s="35" t="s">
        <v>111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35">
        <v>1</v>
      </c>
      <c r="AF125" s="8">
        <v>11.9</v>
      </c>
      <c r="AG125" s="1" t="s">
        <v>24</v>
      </c>
      <c r="AH125" s="1">
        <v>0</v>
      </c>
      <c r="AI125" s="1">
        <v>0</v>
      </c>
      <c r="AJ125" s="7" t="s">
        <v>19</v>
      </c>
      <c r="AK125" s="1">
        <v>1</v>
      </c>
      <c r="AL125" s="1" t="s">
        <v>25</v>
      </c>
      <c r="AM125" s="1">
        <v>1</v>
      </c>
      <c r="AN125" s="12">
        <v>202633.9</v>
      </c>
      <c r="AO125" s="12">
        <v>9</v>
      </c>
      <c r="AP125" s="12">
        <v>3</v>
      </c>
      <c r="AQ125" s="12">
        <v>6</v>
      </c>
      <c r="AR125" s="12" t="s">
        <v>47</v>
      </c>
      <c r="AS125" s="12">
        <v>1</v>
      </c>
      <c r="AT125" s="14">
        <v>21498</v>
      </c>
    </row>
    <row r="126" spans="1:46" x14ac:dyDescent="0.3">
      <c r="A126" s="13">
        <v>125</v>
      </c>
      <c r="B126" s="7">
        <v>46</v>
      </c>
      <c r="C126" s="7" t="s">
        <v>27</v>
      </c>
      <c r="D126" s="7" t="s">
        <v>15</v>
      </c>
      <c r="E126" s="2" t="s">
        <v>28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1</v>
      </c>
      <c r="S126" s="36">
        <v>0</v>
      </c>
      <c r="T126" s="8">
        <v>43.4</v>
      </c>
      <c r="U126" s="7">
        <v>147</v>
      </c>
      <c r="V126" s="9">
        <v>97</v>
      </c>
      <c r="W126" s="9">
        <v>22</v>
      </c>
      <c r="X126" s="35" t="s">
        <v>111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35">
        <v>1</v>
      </c>
      <c r="AF126" s="8">
        <v>12.8</v>
      </c>
      <c r="AG126" s="1" t="s">
        <v>24</v>
      </c>
      <c r="AH126" s="1">
        <v>0</v>
      </c>
      <c r="AI126" s="1">
        <v>0</v>
      </c>
      <c r="AJ126" s="7" t="s">
        <v>19</v>
      </c>
      <c r="AK126" s="1">
        <v>1</v>
      </c>
      <c r="AL126" s="1" t="s">
        <v>25</v>
      </c>
      <c r="AM126" s="1">
        <v>1</v>
      </c>
      <c r="AN126" s="12">
        <v>232676</v>
      </c>
      <c r="AO126" s="12">
        <v>10</v>
      </c>
      <c r="AP126" s="12">
        <v>2</v>
      </c>
      <c r="AQ126" s="12">
        <v>8</v>
      </c>
      <c r="AR126" s="12" t="s">
        <v>47</v>
      </c>
      <c r="AS126" s="12">
        <v>1</v>
      </c>
      <c r="AT126" s="14">
        <v>51450</v>
      </c>
    </row>
    <row r="127" spans="1:46" x14ac:dyDescent="0.3">
      <c r="A127" s="13">
        <v>126</v>
      </c>
      <c r="B127" s="7">
        <v>48</v>
      </c>
      <c r="C127" s="7" t="s">
        <v>14</v>
      </c>
      <c r="D127" s="7" t="s">
        <v>15</v>
      </c>
      <c r="E127" s="2" t="s">
        <v>43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1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36">
        <v>0</v>
      </c>
      <c r="T127" s="8">
        <v>60.3</v>
      </c>
      <c r="U127" s="7">
        <v>155</v>
      </c>
      <c r="V127" s="9">
        <v>60</v>
      </c>
      <c r="W127" s="9">
        <v>24</v>
      </c>
      <c r="X127" s="35" t="s">
        <v>111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35">
        <v>1</v>
      </c>
      <c r="AF127" s="8">
        <v>15.4</v>
      </c>
      <c r="AG127" s="1" t="s">
        <v>24</v>
      </c>
      <c r="AH127" s="1">
        <v>0</v>
      </c>
      <c r="AI127" s="1">
        <v>0</v>
      </c>
      <c r="AJ127" s="7" t="s">
        <v>19</v>
      </c>
      <c r="AK127" s="1">
        <v>1</v>
      </c>
      <c r="AL127" s="1" t="s">
        <v>25</v>
      </c>
      <c r="AM127" s="1">
        <v>1</v>
      </c>
      <c r="AN127" s="12">
        <v>127899</v>
      </c>
      <c r="AO127" s="12">
        <v>6</v>
      </c>
      <c r="AP127" s="12">
        <v>1</v>
      </c>
      <c r="AQ127" s="12">
        <v>5</v>
      </c>
      <c r="AR127" s="12" t="s">
        <v>48</v>
      </c>
      <c r="AS127" s="12">
        <v>0</v>
      </c>
      <c r="AT127" s="14">
        <v>0</v>
      </c>
    </row>
    <row r="128" spans="1:46" x14ac:dyDescent="0.3">
      <c r="A128" s="13">
        <v>127</v>
      </c>
      <c r="B128" s="7">
        <v>8</v>
      </c>
      <c r="C128" s="7" t="s">
        <v>14</v>
      </c>
      <c r="D128" s="7" t="s">
        <v>29</v>
      </c>
      <c r="E128" s="2" t="s">
        <v>16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1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36">
        <v>0</v>
      </c>
      <c r="T128" s="8">
        <v>18</v>
      </c>
      <c r="U128" s="7">
        <v>118</v>
      </c>
      <c r="V128" s="9">
        <v>106</v>
      </c>
      <c r="W128" s="9">
        <v>24</v>
      </c>
      <c r="X128" s="35" t="s">
        <v>111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35">
        <v>1</v>
      </c>
      <c r="AF128" s="8">
        <v>12.6</v>
      </c>
      <c r="AG128" s="1" t="s">
        <v>24</v>
      </c>
      <c r="AH128" s="1">
        <v>0</v>
      </c>
      <c r="AI128" s="1">
        <v>0</v>
      </c>
      <c r="AJ128" s="7" t="s">
        <v>19</v>
      </c>
      <c r="AK128" s="1">
        <v>1</v>
      </c>
      <c r="AL128" s="1" t="s">
        <v>25</v>
      </c>
      <c r="AM128" s="1">
        <v>1</v>
      </c>
      <c r="AN128" s="12">
        <v>145362</v>
      </c>
      <c r="AO128" s="12">
        <v>8</v>
      </c>
      <c r="AP128" s="12">
        <v>2</v>
      </c>
      <c r="AQ128" s="12">
        <v>6</v>
      </c>
      <c r="AR128" s="12" t="s">
        <v>48</v>
      </c>
      <c r="AS128" s="12">
        <v>0</v>
      </c>
      <c r="AT128" s="14">
        <v>0</v>
      </c>
    </row>
    <row r="129" spans="1:46" ht="26.4" x14ac:dyDescent="0.3">
      <c r="A129" s="13">
        <v>128</v>
      </c>
      <c r="B129" s="7">
        <v>7</v>
      </c>
      <c r="C129" s="7" t="s">
        <v>14</v>
      </c>
      <c r="D129" s="7" t="s">
        <v>29</v>
      </c>
      <c r="E129" s="2" t="s">
        <v>34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1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36">
        <v>0</v>
      </c>
      <c r="T129" s="8">
        <v>19.3</v>
      </c>
      <c r="U129" s="7">
        <v>115</v>
      </c>
      <c r="V129" s="9">
        <v>80</v>
      </c>
      <c r="W129" s="9">
        <v>24</v>
      </c>
      <c r="X129" s="35" t="s">
        <v>111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35">
        <v>1</v>
      </c>
      <c r="AF129" s="8">
        <v>13.1</v>
      </c>
      <c r="AG129" s="1" t="s">
        <v>24</v>
      </c>
      <c r="AH129" s="1">
        <v>0</v>
      </c>
      <c r="AI129" s="1">
        <v>0</v>
      </c>
      <c r="AJ129" s="7" t="s">
        <v>19</v>
      </c>
      <c r="AK129" s="1">
        <v>1</v>
      </c>
      <c r="AL129" s="1" t="s">
        <v>25</v>
      </c>
      <c r="AM129" s="1">
        <v>1</v>
      </c>
      <c r="AN129" s="12">
        <v>165335.52000000002</v>
      </c>
      <c r="AO129" s="12">
        <v>15</v>
      </c>
      <c r="AP129" s="12">
        <v>2</v>
      </c>
      <c r="AQ129" s="12">
        <v>13</v>
      </c>
      <c r="AR129" s="12" t="s">
        <v>48</v>
      </c>
      <c r="AS129" s="12">
        <v>0</v>
      </c>
      <c r="AT129" s="14">
        <v>0</v>
      </c>
    </row>
    <row r="130" spans="1:46" x14ac:dyDescent="0.3">
      <c r="A130" s="13">
        <v>129</v>
      </c>
      <c r="B130" s="7">
        <v>16</v>
      </c>
      <c r="C130" s="7" t="s">
        <v>14</v>
      </c>
      <c r="D130" s="7" t="s">
        <v>29</v>
      </c>
      <c r="E130" s="2" t="s">
        <v>28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1</v>
      </c>
      <c r="S130" s="36">
        <v>0</v>
      </c>
      <c r="T130" s="8">
        <v>39.700000000000003</v>
      </c>
      <c r="U130" s="7">
        <v>160</v>
      </c>
      <c r="V130" s="9">
        <v>120</v>
      </c>
      <c r="W130" s="9">
        <v>24</v>
      </c>
      <c r="X130" s="35" t="s">
        <v>111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35">
        <v>1</v>
      </c>
      <c r="AF130" s="8">
        <v>9.8000000000000007</v>
      </c>
      <c r="AG130" s="1" t="s">
        <v>24</v>
      </c>
      <c r="AH130" s="1">
        <v>0</v>
      </c>
      <c r="AI130" s="1">
        <v>0</v>
      </c>
      <c r="AJ130" s="7" t="s">
        <v>19</v>
      </c>
      <c r="AK130" s="1">
        <v>1</v>
      </c>
      <c r="AL130" s="1" t="s">
        <v>25</v>
      </c>
      <c r="AM130" s="1">
        <v>1</v>
      </c>
      <c r="AN130" s="12">
        <v>233266</v>
      </c>
      <c r="AO130" s="12">
        <v>9</v>
      </c>
      <c r="AP130" s="12">
        <v>3</v>
      </c>
      <c r="AQ130" s="12">
        <v>6</v>
      </c>
      <c r="AR130" s="12" t="s">
        <v>47</v>
      </c>
      <c r="AS130" s="12">
        <v>1</v>
      </c>
      <c r="AT130" s="14">
        <v>41600</v>
      </c>
    </row>
    <row r="131" spans="1:46" x14ac:dyDescent="0.3">
      <c r="A131" s="13">
        <v>130</v>
      </c>
      <c r="B131" s="7">
        <v>1</v>
      </c>
      <c r="C131" s="7" t="s">
        <v>14</v>
      </c>
      <c r="D131" s="7" t="s">
        <v>29</v>
      </c>
      <c r="E131" s="2" t="s">
        <v>44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1</v>
      </c>
      <c r="R131" s="2">
        <v>0</v>
      </c>
      <c r="S131" s="36">
        <v>0</v>
      </c>
      <c r="T131" s="8">
        <v>9.6</v>
      </c>
      <c r="U131" s="7">
        <v>29</v>
      </c>
      <c r="V131" s="9">
        <v>92</v>
      </c>
      <c r="W131" s="9">
        <v>24</v>
      </c>
      <c r="X131" s="35" t="s">
        <v>111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35">
        <v>1</v>
      </c>
      <c r="AF131" s="8">
        <v>12.6</v>
      </c>
      <c r="AG131" s="1" t="s">
        <v>24</v>
      </c>
      <c r="AH131" s="1">
        <v>0</v>
      </c>
      <c r="AI131" s="1">
        <v>0</v>
      </c>
      <c r="AJ131" s="7" t="s">
        <v>19</v>
      </c>
      <c r="AK131" s="1">
        <v>1</v>
      </c>
      <c r="AL131" s="1" t="s">
        <v>25</v>
      </c>
      <c r="AM131" s="1">
        <v>1</v>
      </c>
      <c r="AN131" s="12">
        <v>153445</v>
      </c>
      <c r="AO131" s="12">
        <v>13</v>
      </c>
      <c r="AP131" s="12">
        <v>1</v>
      </c>
      <c r="AQ131" s="12">
        <v>12</v>
      </c>
      <c r="AR131" s="12" t="s">
        <v>48</v>
      </c>
      <c r="AS131" s="12">
        <v>0</v>
      </c>
      <c r="AT131" s="14">
        <v>0</v>
      </c>
    </row>
    <row r="132" spans="1:46" x14ac:dyDescent="0.3">
      <c r="A132" s="13">
        <v>131</v>
      </c>
      <c r="B132" s="7">
        <v>14</v>
      </c>
      <c r="C132" s="7" t="s">
        <v>27</v>
      </c>
      <c r="D132" s="7" t="s">
        <v>29</v>
      </c>
      <c r="E132" s="2" t="s">
        <v>28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1</v>
      </c>
      <c r="S132" s="36">
        <v>0</v>
      </c>
      <c r="T132" s="8">
        <v>36</v>
      </c>
      <c r="U132" s="7">
        <v>160</v>
      </c>
      <c r="V132" s="9">
        <v>125</v>
      </c>
      <c r="W132" s="9">
        <v>26</v>
      </c>
      <c r="X132" s="35" t="s">
        <v>111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35">
        <v>1</v>
      </c>
      <c r="AF132" s="8">
        <v>9.6</v>
      </c>
      <c r="AG132" s="1" t="s">
        <v>24</v>
      </c>
      <c r="AH132" s="1">
        <v>0</v>
      </c>
      <c r="AI132" s="1">
        <v>0</v>
      </c>
      <c r="AJ132" s="7" t="s">
        <v>19</v>
      </c>
      <c r="AK132" s="1">
        <v>1</v>
      </c>
      <c r="AL132" s="1" t="s">
        <v>25</v>
      </c>
      <c r="AM132" s="1">
        <v>1</v>
      </c>
      <c r="AN132" s="12">
        <v>135216</v>
      </c>
      <c r="AO132" s="12">
        <v>11</v>
      </c>
      <c r="AP132" s="12">
        <v>1</v>
      </c>
      <c r="AQ132" s="12">
        <v>10</v>
      </c>
      <c r="AR132" s="12" t="s">
        <v>48</v>
      </c>
      <c r="AS132" s="12">
        <v>0</v>
      </c>
      <c r="AT132" s="14">
        <v>0</v>
      </c>
    </row>
    <row r="133" spans="1:46" x14ac:dyDescent="0.3">
      <c r="A133" s="13">
        <v>132</v>
      </c>
      <c r="B133" s="7">
        <v>12</v>
      </c>
      <c r="C133" s="7" t="s">
        <v>27</v>
      </c>
      <c r="D133" s="7" t="s">
        <v>29</v>
      </c>
      <c r="E133" s="2" t="s">
        <v>42</v>
      </c>
      <c r="F133" s="2">
        <v>1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36">
        <v>0</v>
      </c>
      <c r="T133" s="8">
        <v>40.799999999999997</v>
      </c>
      <c r="U133" s="7">
        <v>154</v>
      </c>
      <c r="V133" s="9">
        <v>84</v>
      </c>
      <c r="W133" s="9">
        <v>20</v>
      </c>
      <c r="X133" s="35" t="s">
        <v>111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35">
        <v>1</v>
      </c>
      <c r="AF133" s="8">
        <v>11.7</v>
      </c>
      <c r="AG133" s="1" t="s">
        <v>24</v>
      </c>
      <c r="AH133" s="1">
        <v>0</v>
      </c>
      <c r="AI133" s="1">
        <v>0</v>
      </c>
      <c r="AJ133" s="7" t="s">
        <v>19</v>
      </c>
      <c r="AK133" s="1">
        <v>1</v>
      </c>
      <c r="AL133" s="1" t="s">
        <v>25</v>
      </c>
      <c r="AM133" s="1">
        <v>1</v>
      </c>
      <c r="AN133" s="12">
        <v>117185</v>
      </c>
      <c r="AO133" s="12">
        <v>7</v>
      </c>
      <c r="AP133" s="12">
        <v>1</v>
      </c>
      <c r="AQ133" s="12">
        <v>6</v>
      </c>
      <c r="AR133" s="12" t="s">
        <v>48</v>
      </c>
      <c r="AS133" s="12">
        <v>0</v>
      </c>
      <c r="AT133" s="14">
        <v>0</v>
      </c>
    </row>
    <row r="134" spans="1:46" x14ac:dyDescent="0.3">
      <c r="A134" s="13">
        <v>133</v>
      </c>
      <c r="B134" s="7">
        <v>16</v>
      </c>
      <c r="C134" s="7" t="s">
        <v>27</v>
      </c>
      <c r="D134" s="7" t="s">
        <v>29</v>
      </c>
      <c r="E134" s="2" t="s">
        <v>110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1</v>
      </c>
      <c r="T134" s="8">
        <v>45</v>
      </c>
      <c r="U134" s="7">
        <v>163</v>
      </c>
      <c r="V134" s="9">
        <v>85</v>
      </c>
      <c r="W134" s="9">
        <v>20</v>
      </c>
      <c r="X134" s="1" t="s">
        <v>31</v>
      </c>
      <c r="Y134" s="1">
        <v>0</v>
      </c>
      <c r="Z134" s="1">
        <v>0</v>
      </c>
      <c r="AA134" s="1">
        <v>0</v>
      </c>
      <c r="AB134" s="1">
        <v>1</v>
      </c>
      <c r="AC134" s="1">
        <v>0</v>
      </c>
      <c r="AD134" s="1">
        <v>0</v>
      </c>
      <c r="AE134" s="1">
        <v>0</v>
      </c>
      <c r="AF134" s="8">
        <v>13.1</v>
      </c>
      <c r="AG134" s="1" t="s">
        <v>24</v>
      </c>
      <c r="AH134" s="1">
        <v>0</v>
      </c>
      <c r="AI134" s="1">
        <v>0</v>
      </c>
      <c r="AJ134" s="7" t="s">
        <v>19</v>
      </c>
      <c r="AK134" s="1">
        <v>1</v>
      </c>
      <c r="AL134" s="1" t="s">
        <v>25</v>
      </c>
      <c r="AM134" s="1">
        <v>1</v>
      </c>
      <c r="AN134" s="12">
        <v>108989</v>
      </c>
      <c r="AO134" s="12">
        <v>9</v>
      </c>
      <c r="AP134" s="12">
        <v>1</v>
      </c>
      <c r="AQ134" s="12">
        <v>8</v>
      </c>
      <c r="AR134" s="12" t="s">
        <v>48</v>
      </c>
      <c r="AS134" s="12">
        <v>0</v>
      </c>
      <c r="AT134" s="14">
        <v>0</v>
      </c>
    </row>
    <row r="135" spans="1:46" x14ac:dyDescent="0.3">
      <c r="A135" s="13">
        <v>134</v>
      </c>
      <c r="B135" s="7">
        <v>12</v>
      </c>
      <c r="C135" s="7" t="s">
        <v>27</v>
      </c>
      <c r="D135" s="7" t="s">
        <v>29</v>
      </c>
      <c r="E135" s="2" t="s">
        <v>16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1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36">
        <v>0</v>
      </c>
      <c r="T135" s="8">
        <v>32.4</v>
      </c>
      <c r="U135" s="7">
        <v>151</v>
      </c>
      <c r="V135" s="9">
        <v>102</v>
      </c>
      <c r="W135" s="9">
        <v>24</v>
      </c>
      <c r="X135" s="35" t="s">
        <v>111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35">
        <v>1</v>
      </c>
      <c r="AF135" s="8">
        <v>17.8</v>
      </c>
      <c r="AG135" s="1" t="s">
        <v>24</v>
      </c>
      <c r="AH135" s="1">
        <v>0</v>
      </c>
      <c r="AI135" s="1">
        <v>0</v>
      </c>
      <c r="AJ135" s="7" t="s">
        <v>19</v>
      </c>
      <c r="AK135" s="1">
        <v>1</v>
      </c>
      <c r="AL135" s="1" t="s">
        <v>25</v>
      </c>
      <c r="AM135" s="1">
        <v>1</v>
      </c>
      <c r="AN135" s="12">
        <v>148652</v>
      </c>
      <c r="AO135" s="12">
        <v>8</v>
      </c>
      <c r="AP135" s="12">
        <v>2</v>
      </c>
      <c r="AQ135" s="12">
        <v>6</v>
      </c>
      <c r="AR135" s="12" t="s">
        <v>48</v>
      </c>
      <c r="AS135" s="12">
        <v>0</v>
      </c>
      <c r="AT135" s="14">
        <v>0</v>
      </c>
    </row>
    <row r="136" spans="1:46" x14ac:dyDescent="0.3">
      <c r="A136" s="13">
        <v>135</v>
      </c>
      <c r="B136" s="7">
        <v>2</v>
      </c>
      <c r="C136" s="7" t="s">
        <v>27</v>
      </c>
      <c r="D136" s="7" t="s">
        <v>29</v>
      </c>
      <c r="E136" s="2" t="s">
        <v>42</v>
      </c>
      <c r="F136" s="2">
        <v>1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36">
        <v>0</v>
      </c>
      <c r="T136" s="8">
        <v>7.4</v>
      </c>
      <c r="U136" s="7">
        <v>77</v>
      </c>
      <c r="V136" s="9">
        <v>126</v>
      </c>
      <c r="W136" s="9">
        <v>30</v>
      </c>
      <c r="X136" s="1" t="s">
        <v>40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1</v>
      </c>
      <c r="AE136" s="1">
        <v>0</v>
      </c>
      <c r="AF136" s="8">
        <v>11.4</v>
      </c>
      <c r="AG136" s="1" t="s">
        <v>24</v>
      </c>
      <c r="AH136" s="1">
        <v>0</v>
      </c>
      <c r="AI136" s="1">
        <v>0</v>
      </c>
      <c r="AJ136" s="7" t="s">
        <v>19</v>
      </c>
      <c r="AK136" s="1">
        <v>1</v>
      </c>
      <c r="AL136" s="1" t="s">
        <v>25</v>
      </c>
      <c r="AM136" s="1">
        <v>1</v>
      </c>
      <c r="AN136" s="12">
        <v>79302</v>
      </c>
      <c r="AO136" s="12">
        <v>8</v>
      </c>
      <c r="AP136" s="12">
        <v>2</v>
      </c>
      <c r="AQ136" s="12">
        <v>6</v>
      </c>
      <c r="AR136" s="12" t="s">
        <v>48</v>
      </c>
      <c r="AS136" s="12">
        <v>0</v>
      </c>
      <c r="AT136" s="14">
        <v>0</v>
      </c>
    </row>
    <row r="137" spans="1:46" ht="26.4" x14ac:dyDescent="0.3">
      <c r="A137" s="13">
        <v>136</v>
      </c>
      <c r="B137" s="7">
        <v>6</v>
      </c>
      <c r="C137" s="7" t="s">
        <v>14</v>
      </c>
      <c r="D137" s="7" t="s">
        <v>29</v>
      </c>
      <c r="E137" s="2" t="s">
        <v>41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1</v>
      </c>
      <c r="Q137" s="2">
        <v>0</v>
      </c>
      <c r="R137" s="2">
        <v>0</v>
      </c>
      <c r="S137" s="36">
        <v>0</v>
      </c>
      <c r="T137" s="8">
        <v>16.399999999999999</v>
      </c>
      <c r="U137" s="7">
        <v>105</v>
      </c>
      <c r="V137" s="9">
        <v>110</v>
      </c>
      <c r="W137" s="9">
        <v>20</v>
      </c>
      <c r="X137" s="1" t="s">
        <v>31</v>
      </c>
      <c r="Y137" s="1">
        <v>0</v>
      </c>
      <c r="Z137" s="1">
        <v>0</v>
      </c>
      <c r="AA137" s="1">
        <v>0</v>
      </c>
      <c r="AB137" s="1">
        <v>1</v>
      </c>
      <c r="AC137" s="1">
        <v>0</v>
      </c>
      <c r="AD137" s="1">
        <v>0</v>
      </c>
      <c r="AE137" s="1">
        <v>0</v>
      </c>
      <c r="AF137" s="8">
        <v>19.399999999999999</v>
      </c>
      <c r="AG137" s="1" t="s">
        <v>24</v>
      </c>
      <c r="AH137" s="1">
        <v>0</v>
      </c>
      <c r="AI137" s="1">
        <v>0</v>
      </c>
      <c r="AJ137" s="7" t="s">
        <v>19</v>
      </c>
      <c r="AK137" s="1">
        <v>1</v>
      </c>
      <c r="AL137" s="1" t="s">
        <v>25</v>
      </c>
      <c r="AM137" s="1">
        <v>1</v>
      </c>
      <c r="AN137" s="12">
        <v>147132</v>
      </c>
      <c r="AO137" s="12">
        <v>9</v>
      </c>
      <c r="AP137" s="12">
        <v>1</v>
      </c>
      <c r="AQ137" s="12">
        <v>8</v>
      </c>
      <c r="AR137" s="12" t="s">
        <v>48</v>
      </c>
      <c r="AS137" s="12">
        <v>0</v>
      </c>
      <c r="AT137" s="14">
        <v>0</v>
      </c>
    </row>
    <row r="138" spans="1:46" x14ac:dyDescent="0.3">
      <c r="A138" s="13">
        <v>137</v>
      </c>
      <c r="B138" s="7">
        <v>5</v>
      </c>
      <c r="C138" s="7" t="s">
        <v>14</v>
      </c>
      <c r="D138" s="7" t="s">
        <v>29</v>
      </c>
      <c r="E138" s="2" t="s">
        <v>42</v>
      </c>
      <c r="F138" s="2">
        <v>1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36">
        <v>0</v>
      </c>
      <c r="T138" s="8">
        <v>15</v>
      </c>
      <c r="U138" s="7">
        <v>105</v>
      </c>
      <c r="V138" s="9">
        <v>124</v>
      </c>
      <c r="W138" s="9">
        <v>26</v>
      </c>
      <c r="X138" s="35" t="s">
        <v>111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35">
        <v>1</v>
      </c>
      <c r="AF138" s="8">
        <v>10</v>
      </c>
      <c r="AG138" s="1" t="s">
        <v>24</v>
      </c>
      <c r="AH138" s="1">
        <v>0</v>
      </c>
      <c r="AI138" s="1">
        <v>0</v>
      </c>
      <c r="AJ138" s="7" t="s">
        <v>19</v>
      </c>
      <c r="AK138" s="1">
        <v>1</v>
      </c>
      <c r="AL138" s="1" t="s">
        <v>25</v>
      </c>
      <c r="AM138" s="1">
        <v>1</v>
      </c>
      <c r="AN138" s="12">
        <v>131738.27000000002</v>
      </c>
      <c r="AO138" s="12">
        <v>8</v>
      </c>
      <c r="AP138" s="12">
        <v>1</v>
      </c>
      <c r="AQ138" s="12">
        <v>7</v>
      </c>
      <c r="AR138" s="12" t="s">
        <v>48</v>
      </c>
      <c r="AS138" s="12">
        <v>0</v>
      </c>
      <c r="AT138" s="14">
        <v>0</v>
      </c>
    </row>
    <row r="139" spans="1:46" ht="26.4" x14ac:dyDescent="0.3">
      <c r="A139" s="13">
        <v>138</v>
      </c>
      <c r="B139" s="7">
        <v>8</v>
      </c>
      <c r="C139" s="7" t="s">
        <v>27</v>
      </c>
      <c r="D139" s="7" t="s">
        <v>29</v>
      </c>
      <c r="E139" s="2" t="s">
        <v>41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1</v>
      </c>
      <c r="Q139" s="2">
        <v>0</v>
      </c>
      <c r="R139" s="2">
        <v>0</v>
      </c>
      <c r="S139" s="36">
        <v>0</v>
      </c>
      <c r="T139" s="8">
        <v>21.3</v>
      </c>
      <c r="U139" s="7">
        <v>127</v>
      </c>
      <c r="V139" s="9">
        <v>110</v>
      </c>
      <c r="W139" s="9">
        <v>24</v>
      </c>
      <c r="X139" s="35" t="s">
        <v>111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35">
        <v>1</v>
      </c>
      <c r="AF139" s="8">
        <v>18.5</v>
      </c>
      <c r="AG139" s="1" t="s">
        <v>24</v>
      </c>
      <c r="AH139" s="1">
        <v>0</v>
      </c>
      <c r="AI139" s="1">
        <v>0</v>
      </c>
      <c r="AJ139" s="7" t="s">
        <v>19</v>
      </c>
      <c r="AK139" s="1">
        <v>1</v>
      </c>
      <c r="AL139" s="1" t="s">
        <v>25</v>
      </c>
      <c r="AM139" s="1">
        <v>1</v>
      </c>
      <c r="AN139" s="12">
        <v>146355</v>
      </c>
      <c r="AO139" s="12">
        <v>11</v>
      </c>
      <c r="AP139" s="12">
        <v>2</v>
      </c>
      <c r="AQ139" s="12">
        <v>9</v>
      </c>
      <c r="AR139" s="12" t="s">
        <v>48</v>
      </c>
      <c r="AS139" s="12">
        <v>0</v>
      </c>
      <c r="AT139" s="14">
        <v>0</v>
      </c>
    </row>
    <row r="140" spans="1:46" x14ac:dyDescent="0.3">
      <c r="A140" s="13">
        <v>139</v>
      </c>
      <c r="B140" s="7">
        <v>11</v>
      </c>
      <c r="C140" s="7" t="s">
        <v>14</v>
      </c>
      <c r="D140" s="7" t="s">
        <v>29</v>
      </c>
      <c r="E140" s="2" t="s">
        <v>16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1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36">
        <v>0</v>
      </c>
      <c r="T140" s="8">
        <v>16.3</v>
      </c>
      <c r="U140" s="7">
        <v>120</v>
      </c>
      <c r="V140" s="9">
        <v>98</v>
      </c>
      <c r="W140" s="9">
        <v>24</v>
      </c>
      <c r="X140" s="35" t="s">
        <v>111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35">
        <v>1</v>
      </c>
      <c r="AF140" s="8">
        <v>20.100000000000001</v>
      </c>
      <c r="AG140" s="1" t="s">
        <v>24</v>
      </c>
      <c r="AH140" s="1">
        <v>0</v>
      </c>
      <c r="AI140" s="1">
        <v>0</v>
      </c>
      <c r="AJ140" s="7" t="s">
        <v>19</v>
      </c>
      <c r="AK140" s="1">
        <v>1</v>
      </c>
      <c r="AL140" s="1" t="s">
        <v>25</v>
      </c>
      <c r="AM140" s="1">
        <v>1</v>
      </c>
      <c r="AN140" s="12">
        <v>97060.800000000003</v>
      </c>
      <c r="AO140" s="12">
        <v>10</v>
      </c>
      <c r="AP140" s="12">
        <v>1</v>
      </c>
      <c r="AQ140" s="12">
        <v>9</v>
      </c>
      <c r="AR140" s="12" t="s">
        <v>48</v>
      </c>
      <c r="AS140" s="12">
        <v>0</v>
      </c>
      <c r="AT140" s="14">
        <v>0</v>
      </c>
    </row>
    <row r="141" spans="1:46" x14ac:dyDescent="0.3">
      <c r="A141" s="13">
        <v>140</v>
      </c>
      <c r="B141" s="7">
        <v>55</v>
      </c>
      <c r="C141" s="7" t="s">
        <v>27</v>
      </c>
      <c r="D141" s="7" t="s">
        <v>15</v>
      </c>
      <c r="E141" s="2" t="s">
        <v>16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1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36">
        <v>0</v>
      </c>
      <c r="T141" s="8">
        <v>60</v>
      </c>
      <c r="U141" s="7">
        <v>160</v>
      </c>
      <c r="V141" s="9">
        <v>92</v>
      </c>
      <c r="W141" s="9">
        <v>20</v>
      </c>
      <c r="X141" s="1" t="s">
        <v>32</v>
      </c>
      <c r="Y141" s="1">
        <v>1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8">
        <v>7.7</v>
      </c>
      <c r="AG141" s="1" t="s">
        <v>24</v>
      </c>
      <c r="AH141" s="1">
        <v>0</v>
      </c>
      <c r="AI141" s="1">
        <v>0</v>
      </c>
      <c r="AJ141" s="7" t="s">
        <v>19</v>
      </c>
      <c r="AK141" s="1">
        <v>1</v>
      </c>
      <c r="AL141" s="1" t="s">
        <v>25</v>
      </c>
      <c r="AM141" s="1">
        <v>1</v>
      </c>
      <c r="AN141" s="12">
        <v>84002.5</v>
      </c>
      <c r="AO141" s="12">
        <v>7</v>
      </c>
      <c r="AP141" s="12">
        <v>1</v>
      </c>
      <c r="AQ141" s="12">
        <v>6</v>
      </c>
      <c r="AR141" s="12" t="s">
        <v>48</v>
      </c>
      <c r="AS141" s="12">
        <v>0</v>
      </c>
      <c r="AT141" s="14">
        <v>0</v>
      </c>
    </row>
    <row r="142" spans="1:46" x14ac:dyDescent="0.3">
      <c r="A142" s="13">
        <v>141</v>
      </c>
      <c r="B142" s="7">
        <v>1</v>
      </c>
      <c r="C142" s="7" t="s">
        <v>14</v>
      </c>
      <c r="D142" s="7" t="s">
        <v>29</v>
      </c>
      <c r="E142" s="2" t="s">
        <v>16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1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36">
        <v>0</v>
      </c>
      <c r="T142" s="8">
        <v>8</v>
      </c>
      <c r="U142" s="7">
        <v>72</v>
      </c>
      <c r="V142" s="9">
        <v>120</v>
      </c>
      <c r="W142" s="9">
        <v>24</v>
      </c>
      <c r="X142" s="1" t="s">
        <v>31</v>
      </c>
      <c r="Y142" s="1">
        <v>0</v>
      </c>
      <c r="Z142" s="1">
        <v>0</v>
      </c>
      <c r="AA142" s="1">
        <v>0</v>
      </c>
      <c r="AB142" s="1">
        <v>1</v>
      </c>
      <c r="AC142" s="1">
        <v>0</v>
      </c>
      <c r="AD142" s="1">
        <v>0</v>
      </c>
      <c r="AE142" s="1">
        <v>0</v>
      </c>
      <c r="AF142" s="8">
        <v>18.600000000000001</v>
      </c>
      <c r="AG142" s="1" t="s">
        <v>24</v>
      </c>
      <c r="AH142" s="1">
        <v>0</v>
      </c>
      <c r="AI142" s="1">
        <v>0</v>
      </c>
      <c r="AJ142" s="7" t="s">
        <v>19</v>
      </c>
      <c r="AK142" s="1">
        <v>1</v>
      </c>
      <c r="AL142" s="1" t="s">
        <v>25</v>
      </c>
      <c r="AM142" s="1">
        <v>1</v>
      </c>
      <c r="AN142" s="12">
        <v>106070</v>
      </c>
      <c r="AO142" s="12">
        <v>10</v>
      </c>
      <c r="AP142" s="12">
        <v>1</v>
      </c>
      <c r="AQ142" s="12">
        <v>9</v>
      </c>
      <c r="AR142" s="12" t="s">
        <v>48</v>
      </c>
      <c r="AS142" s="12">
        <v>0</v>
      </c>
      <c r="AT142" s="14">
        <v>0</v>
      </c>
    </row>
    <row r="143" spans="1:46" x14ac:dyDescent="0.3">
      <c r="A143" s="13">
        <v>142</v>
      </c>
      <c r="B143" s="7">
        <v>14</v>
      </c>
      <c r="C143" s="7" t="s">
        <v>27</v>
      </c>
      <c r="D143" s="7" t="s">
        <v>29</v>
      </c>
      <c r="E143" s="2" t="s">
        <v>43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1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36">
        <v>0</v>
      </c>
      <c r="T143" s="8">
        <v>37</v>
      </c>
      <c r="U143" s="7">
        <v>155</v>
      </c>
      <c r="V143" s="9">
        <v>84</v>
      </c>
      <c r="W143" s="9">
        <v>22</v>
      </c>
      <c r="X143" s="35" t="s">
        <v>111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35">
        <v>1</v>
      </c>
      <c r="AF143" s="8">
        <v>10.5</v>
      </c>
      <c r="AG143" s="1" t="s">
        <v>24</v>
      </c>
      <c r="AH143" s="1">
        <v>0</v>
      </c>
      <c r="AI143" s="1">
        <v>0</v>
      </c>
      <c r="AJ143" s="7" t="s">
        <v>19</v>
      </c>
      <c r="AK143" s="1">
        <v>1</v>
      </c>
      <c r="AL143" s="1" t="s">
        <v>25</v>
      </c>
      <c r="AM143" s="1">
        <v>1</v>
      </c>
      <c r="AN143" s="12">
        <v>123187.9</v>
      </c>
      <c r="AO143" s="12">
        <v>7</v>
      </c>
      <c r="AP143" s="12">
        <v>2</v>
      </c>
      <c r="AQ143" s="12">
        <v>6</v>
      </c>
      <c r="AR143" s="12" t="s">
        <v>48</v>
      </c>
      <c r="AS143" s="12">
        <v>0</v>
      </c>
      <c r="AT143" s="14">
        <v>0</v>
      </c>
    </row>
    <row r="144" spans="1:46" x14ac:dyDescent="0.3">
      <c r="A144" s="13">
        <v>143</v>
      </c>
      <c r="B144" s="7">
        <v>6</v>
      </c>
      <c r="C144" s="7" t="s">
        <v>27</v>
      </c>
      <c r="D144" s="7" t="s">
        <v>29</v>
      </c>
      <c r="E144" s="2" t="s">
        <v>16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1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36">
        <v>0</v>
      </c>
      <c r="T144" s="8">
        <v>18</v>
      </c>
      <c r="U144" s="7">
        <v>120</v>
      </c>
      <c r="V144" s="9">
        <v>82</v>
      </c>
      <c r="W144" s="9">
        <v>24</v>
      </c>
      <c r="X144" s="35" t="s">
        <v>111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35">
        <v>1</v>
      </c>
      <c r="AF144" s="8">
        <v>11</v>
      </c>
      <c r="AG144" s="1" t="s">
        <v>24</v>
      </c>
      <c r="AH144" s="1">
        <v>0</v>
      </c>
      <c r="AI144" s="1">
        <v>0</v>
      </c>
      <c r="AJ144" s="7" t="s">
        <v>19</v>
      </c>
      <c r="AK144" s="1">
        <v>1</v>
      </c>
      <c r="AL144" s="1" t="s">
        <v>25</v>
      </c>
      <c r="AM144" s="1">
        <v>1</v>
      </c>
      <c r="AN144" s="12">
        <v>120367.81</v>
      </c>
      <c r="AO144" s="12">
        <v>7</v>
      </c>
      <c r="AP144" s="12">
        <v>1</v>
      </c>
      <c r="AQ144" s="12">
        <v>6</v>
      </c>
      <c r="AR144" s="12" t="s">
        <v>48</v>
      </c>
      <c r="AS144" s="12">
        <v>0</v>
      </c>
      <c r="AT144" s="14">
        <v>0</v>
      </c>
    </row>
    <row r="145" spans="1:46" ht="26.4" x14ac:dyDescent="0.3">
      <c r="A145" s="13">
        <v>144</v>
      </c>
      <c r="B145" s="7">
        <v>8</v>
      </c>
      <c r="C145" s="7" t="s">
        <v>14</v>
      </c>
      <c r="D145" s="7" t="s">
        <v>29</v>
      </c>
      <c r="E145" s="2" t="s">
        <v>41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1</v>
      </c>
      <c r="Q145" s="2">
        <v>0</v>
      </c>
      <c r="R145" s="2">
        <v>0</v>
      </c>
      <c r="S145" s="36">
        <v>0</v>
      </c>
      <c r="T145" s="8">
        <v>22</v>
      </c>
      <c r="U145" s="7">
        <v>130</v>
      </c>
      <c r="V145" s="9">
        <v>98</v>
      </c>
      <c r="W145" s="9">
        <v>24</v>
      </c>
      <c r="X145" s="1" t="s">
        <v>40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1</v>
      </c>
      <c r="AE145" s="1">
        <v>0</v>
      </c>
      <c r="AF145" s="8">
        <v>12.8</v>
      </c>
      <c r="AG145" s="1" t="s">
        <v>24</v>
      </c>
      <c r="AH145" s="1">
        <v>0</v>
      </c>
      <c r="AI145" s="1">
        <v>0</v>
      </c>
      <c r="AJ145" s="7" t="s">
        <v>19</v>
      </c>
      <c r="AK145" s="1">
        <v>1</v>
      </c>
      <c r="AL145" s="1" t="s">
        <v>25</v>
      </c>
      <c r="AM145" s="1">
        <v>1</v>
      </c>
      <c r="AN145" s="12">
        <v>140372</v>
      </c>
      <c r="AO145" s="12">
        <v>7</v>
      </c>
      <c r="AP145" s="12">
        <v>2</v>
      </c>
      <c r="AQ145" s="12">
        <v>5</v>
      </c>
      <c r="AR145" s="12" t="s">
        <v>48</v>
      </c>
      <c r="AS145" s="12">
        <v>0</v>
      </c>
      <c r="AT145" s="14">
        <v>0</v>
      </c>
    </row>
    <row r="146" spans="1:46" x14ac:dyDescent="0.3">
      <c r="A146" s="13">
        <v>145</v>
      </c>
      <c r="B146" s="7">
        <v>8</v>
      </c>
      <c r="C146" s="7" t="s">
        <v>14</v>
      </c>
      <c r="D146" s="7" t="s">
        <v>29</v>
      </c>
      <c r="E146" s="2" t="s">
        <v>16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1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36">
        <v>0</v>
      </c>
      <c r="T146" s="8">
        <v>18.399999999999999</v>
      </c>
      <c r="U146" s="7">
        <v>112</v>
      </c>
      <c r="V146" s="9">
        <v>100</v>
      </c>
      <c r="W146" s="9">
        <v>30</v>
      </c>
      <c r="X146" s="35" t="s">
        <v>111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35">
        <v>1</v>
      </c>
      <c r="AF146" s="8">
        <v>25.7</v>
      </c>
      <c r="AG146" s="1" t="s">
        <v>24</v>
      </c>
      <c r="AH146" s="1">
        <v>0</v>
      </c>
      <c r="AI146" s="1">
        <v>0</v>
      </c>
      <c r="AJ146" s="7" t="s">
        <v>19</v>
      </c>
      <c r="AK146" s="1">
        <v>1</v>
      </c>
      <c r="AL146" s="1" t="s">
        <v>25</v>
      </c>
      <c r="AM146" s="1">
        <v>1</v>
      </c>
      <c r="AN146" s="12">
        <v>102852</v>
      </c>
      <c r="AO146" s="12">
        <v>13</v>
      </c>
      <c r="AP146" s="12">
        <v>1</v>
      </c>
      <c r="AQ146" s="12">
        <v>12</v>
      </c>
      <c r="AR146" s="12" t="s">
        <v>48</v>
      </c>
      <c r="AS146" s="12">
        <v>0</v>
      </c>
      <c r="AT146" s="14">
        <v>0</v>
      </c>
    </row>
    <row r="147" spans="1:46" x14ac:dyDescent="0.3">
      <c r="A147" s="13">
        <v>146</v>
      </c>
      <c r="B147" s="7">
        <v>1</v>
      </c>
      <c r="C147" s="7" t="s">
        <v>27</v>
      </c>
      <c r="D147" s="7" t="s">
        <v>29</v>
      </c>
      <c r="E147" s="2" t="s">
        <v>16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36">
        <v>0</v>
      </c>
      <c r="T147" s="8">
        <v>6.8</v>
      </c>
      <c r="U147" s="7">
        <v>68</v>
      </c>
      <c r="V147" s="9">
        <v>112</v>
      </c>
      <c r="W147" s="9">
        <v>24</v>
      </c>
      <c r="X147" s="35" t="s">
        <v>111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35">
        <v>1</v>
      </c>
      <c r="AF147" s="8">
        <v>12.4</v>
      </c>
      <c r="AG147" s="1" t="s">
        <v>24</v>
      </c>
      <c r="AH147" s="1">
        <v>0</v>
      </c>
      <c r="AI147" s="1">
        <v>0</v>
      </c>
      <c r="AJ147" s="7" t="s">
        <v>19</v>
      </c>
      <c r="AK147" s="1">
        <v>1</v>
      </c>
      <c r="AL147" s="1" t="s">
        <v>25</v>
      </c>
      <c r="AM147" s="1">
        <v>1</v>
      </c>
      <c r="AN147" s="12">
        <v>154669</v>
      </c>
      <c r="AO147" s="12">
        <v>12</v>
      </c>
      <c r="AP147" s="12">
        <v>2</v>
      </c>
      <c r="AQ147" s="12">
        <v>10</v>
      </c>
      <c r="AR147" s="12" t="s">
        <v>48</v>
      </c>
      <c r="AS147" s="12">
        <v>0</v>
      </c>
      <c r="AT147" s="14">
        <v>0</v>
      </c>
    </row>
    <row r="148" spans="1:46" x14ac:dyDescent="0.3">
      <c r="A148" s="13">
        <v>147</v>
      </c>
      <c r="B148" s="7">
        <v>8</v>
      </c>
      <c r="C148" s="7" t="s">
        <v>14</v>
      </c>
      <c r="D148" s="7" t="s">
        <v>29</v>
      </c>
      <c r="E148" s="2" t="s">
        <v>43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1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36">
        <v>0</v>
      </c>
      <c r="T148" s="8">
        <v>24</v>
      </c>
      <c r="U148" s="7">
        <v>126</v>
      </c>
      <c r="V148" s="9">
        <v>100</v>
      </c>
      <c r="W148" s="9">
        <v>24</v>
      </c>
      <c r="X148" s="35" t="s">
        <v>111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35">
        <v>1</v>
      </c>
      <c r="AF148" s="8">
        <v>14.8</v>
      </c>
      <c r="AG148" s="1" t="s">
        <v>24</v>
      </c>
      <c r="AH148" s="1">
        <v>0</v>
      </c>
      <c r="AI148" s="1">
        <v>0</v>
      </c>
      <c r="AJ148" s="7" t="s">
        <v>19</v>
      </c>
      <c r="AK148" s="1">
        <v>1</v>
      </c>
      <c r="AL148" s="1" t="s">
        <v>25</v>
      </c>
      <c r="AM148" s="1">
        <v>1</v>
      </c>
      <c r="AN148" s="12">
        <v>115935.54000000001</v>
      </c>
      <c r="AO148" s="12">
        <v>9</v>
      </c>
      <c r="AP148" s="12">
        <v>1</v>
      </c>
      <c r="AQ148" s="12">
        <v>8</v>
      </c>
      <c r="AR148" s="12" t="s">
        <v>48</v>
      </c>
      <c r="AS148" s="12">
        <v>0</v>
      </c>
      <c r="AT148" s="14">
        <v>0</v>
      </c>
    </row>
    <row r="149" spans="1:46" x14ac:dyDescent="0.3">
      <c r="A149" s="13">
        <v>148</v>
      </c>
      <c r="B149" s="7">
        <v>10</v>
      </c>
      <c r="C149" s="7" t="s">
        <v>14</v>
      </c>
      <c r="D149" s="7" t="s">
        <v>29</v>
      </c>
      <c r="E149" s="2" t="s">
        <v>42</v>
      </c>
      <c r="F149" s="2">
        <v>1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36">
        <v>0</v>
      </c>
      <c r="T149" s="8">
        <v>22.5</v>
      </c>
      <c r="U149" s="7">
        <v>129</v>
      </c>
      <c r="V149" s="9">
        <v>108</v>
      </c>
      <c r="W149" s="9">
        <v>28</v>
      </c>
      <c r="X149" s="35" t="s">
        <v>111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35">
        <v>1</v>
      </c>
      <c r="AF149" s="8">
        <v>11.9</v>
      </c>
      <c r="AG149" s="1" t="s">
        <v>24</v>
      </c>
      <c r="AH149" s="1">
        <v>0</v>
      </c>
      <c r="AI149" s="1">
        <v>0</v>
      </c>
      <c r="AJ149" s="7" t="s">
        <v>19</v>
      </c>
      <c r="AK149" s="1">
        <v>1</v>
      </c>
      <c r="AL149" s="1" t="s">
        <v>25</v>
      </c>
      <c r="AM149" s="1">
        <v>1</v>
      </c>
      <c r="AN149" s="12">
        <v>113706.2</v>
      </c>
      <c r="AO149" s="12">
        <v>6</v>
      </c>
      <c r="AP149" s="12">
        <v>0</v>
      </c>
      <c r="AQ149" s="12">
        <v>6</v>
      </c>
      <c r="AR149" s="12" t="s">
        <v>48</v>
      </c>
      <c r="AS149" s="12">
        <v>0</v>
      </c>
      <c r="AT149" s="14">
        <v>0</v>
      </c>
    </row>
    <row r="150" spans="1:46" ht="26.4" x14ac:dyDescent="0.3">
      <c r="A150" s="13">
        <v>149</v>
      </c>
      <c r="B150" s="7">
        <v>6</v>
      </c>
      <c r="C150" s="7" t="s">
        <v>14</v>
      </c>
      <c r="D150" s="7" t="s">
        <v>29</v>
      </c>
      <c r="E150" s="2" t="s">
        <v>41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1</v>
      </c>
      <c r="Q150" s="2">
        <v>0</v>
      </c>
      <c r="R150" s="2">
        <v>0</v>
      </c>
      <c r="S150" s="36">
        <v>0</v>
      </c>
      <c r="T150" s="8">
        <v>18.5</v>
      </c>
      <c r="U150" s="7">
        <v>111</v>
      </c>
      <c r="V150" s="9">
        <v>90</v>
      </c>
      <c r="W150" s="9">
        <v>28</v>
      </c>
      <c r="X150" s="35" t="s">
        <v>111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35">
        <v>1</v>
      </c>
      <c r="AF150" s="8">
        <v>15.9</v>
      </c>
      <c r="AG150" s="1" t="s">
        <v>24</v>
      </c>
      <c r="AH150" s="1">
        <v>0</v>
      </c>
      <c r="AI150" s="1">
        <v>0</v>
      </c>
      <c r="AJ150" s="7" t="s">
        <v>19</v>
      </c>
      <c r="AK150" s="1">
        <v>1</v>
      </c>
      <c r="AL150" s="1" t="s">
        <v>25</v>
      </c>
      <c r="AM150" s="1">
        <v>1</v>
      </c>
      <c r="AN150" s="12">
        <v>138769.38</v>
      </c>
      <c r="AO150" s="12">
        <v>8</v>
      </c>
      <c r="AP150" s="12">
        <v>1</v>
      </c>
      <c r="AQ150" s="12">
        <v>7</v>
      </c>
      <c r="AR150" s="12" t="s">
        <v>48</v>
      </c>
      <c r="AS150" s="12">
        <v>0</v>
      </c>
      <c r="AT150" s="14">
        <v>0</v>
      </c>
    </row>
    <row r="151" spans="1:46" x14ac:dyDescent="0.3">
      <c r="A151" s="13">
        <v>150</v>
      </c>
      <c r="B151" s="7">
        <v>5</v>
      </c>
      <c r="C151" s="7" t="s">
        <v>27</v>
      </c>
      <c r="D151" s="7" t="s">
        <v>29</v>
      </c>
      <c r="E151" s="2" t="s">
        <v>16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1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36">
        <v>0</v>
      </c>
      <c r="T151" s="8">
        <v>14.3</v>
      </c>
      <c r="U151" s="7">
        <v>109</v>
      </c>
      <c r="V151" s="9">
        <v>101</v>
      </c>
      <c r="W151" s="9">
        <v>22</v>
      </c>
      <c r="X151" s="35" t="s">
        <v>111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35">
        <v>1</v>
      </c>
      <c r="AF151" s="8">
        <v>11.4</v>
      </c>
      <c r="AG151" s="1" t="s">
        <v>24</v>
      </c>
      <c r="AH151" s="1">
        <v>0</v>
      </c>
      <c r="AI151" s="1">
        <v>0</v>
      </c>
      <c r="AJ151" s="7" t="s">
        <v>19</v>
      </c>
      <c r="AK151" s="1">
        <v>1</v>
      </c>
      <c r="AL151" s="1" t="s">
        <v>25</v>
      </c>
      <c r="AM151" s="1">
        <v>1</v>
      </c>
      <c r="AN151" s="12">
        <v>61340</v>
      </c>
      <c r="AO151" s="12">
        <v>7</v>
      </c>
      <c r="AP151" s="12">
        <v>1</v>
      </c>
      <c r="AQ151" s="12">
        <v>6</v>
      </c>
      <c r="AR151" s="12" t="s">
        <v>48</v>
      </c>
      <c r="AS151" s="12">
        <v>0</v>
      </c>
      <c r="AT151" s="14">
        <v>0</v>
      </c>
    </row>
    <row r="152" spans="1:46" x14ac:dyDescent="0.3">
      <c r="A152" s="13">
        <v>151</v>
      </c>
      <c r="B152" s="7">
        <v>6</v>
      </c>
      <c r="C152" s="7" t="s">
        <v>27</v>
      </c>
      <c r="D152" s="7" t="s">
        <v>29</v>
      </c>
      <c r="E152" s="2" t="s">
        <v>42</v>
      </c>
      <c r="F152" s="2">
        <v>1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36">
        <v>0</v>
      </c>
      <c r="T152" s="8">
        <v>17.3</v>
      </c>
      <c r="U152" s="7">
        <v>114</v>
      </c>
      <c r="V152" s="9">
        <v>88</v>
      </c>
      <c r="W152" s="9">
        <v>24</v>
      </c>
      <c r="X152" s="35" t="s">
        <v>111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35">
        <v>1</v>
      </c>
      <c r="AF152" s="8">
        <v>10.1</v>
      </c>
      <c r="AG152" s="1" t="s">
        <v>24</v>
      </c>
      <c r="AH152" s="1">
        <v>0</v>
      </c>
      <c r="AI152" s="1">
        <v>0</v>
      </c>
      <c r="AJ152" s="7" t="s">
        <v>19</v>
      </c>
      <c r="AK152" s="1">
        <v>1</v>
      </c>
      <c r="AL152" s="1" t="s">
        <v>25</v>
      </c>
      <c r="AM152" s="1">
        <v>1</v>
      </c>
      <c r="AN152" s="12">
        <v>72374</v>
      </c>
      <c r="AO152" s="12">
        <v>12</v>
      </c>
      <c r="AP152" s="12">
        <v>1</v>
      </c>
      <c r="AQ152" s="12">
        <v>11</v>
      </c>
      <c r="AR152" s="12" t="s">
        <v>48</v>
      </c>
      <c r="AS152" s="12">
        <v>0</v>
      </c>
      <c r="AT152" s="14">
        <v>0</v>
      </c>
    </row>
    <row r="153" spans="1:46" ht="26.4" x14ac:dyDescent="0.3">
      <c r="A153" s="13">
        <v>152</v>
      </c>
      <c r="B153" s="7">
        <v>3</v>
      </c>
      <c r="C153" s="7" t="s">
        <v>14</v>
      </c>
      <c r="D153" s="7" t="s">
        <v>29</v>
      </c>
      <c r="E153" s="2" t="s">
        <v>41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1</v>
      </c>
      <c r="Q153" s="2">
        <v>0</v>
      </c>
      <c r="R153" s="2">
        <v>0</v>
      </c>
      <c r="S153" s="36">
        <v>0</v>
      </c>
      <c r="T153" s="8">
        <v>10.8</v>
      </c>
      <c r="U153" s="7">
        <v>91</v>
      </c>
      <c r="V153" s="9">
        <v>102</v>
      </c>
      <c r="W153" s="9">
        <v>20</v>
      </c>
      <c r="X153" s="35" t="s">
        <v>111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35">
        <v>1</v>
      </c>
      <c r="AF153" s="8">
        <v>10.8</v>
      </c>
      <c r="AG153" s="1" t="s">
        <v>24</v>
      </c>
      <c r="AH153" s="1">
        <v>0</v>
      </c>
      <c r="AI153" s="1">
        <v>0</v>
      </c>
      <c r="AJ153" s="7" t="s">
        <v>19</v>
      </c>
      <c r="AK153" s="1">
        <v>1</v>
      </c>
      <c r="AL153" s="1" t="s">
        <v>25</v>
      </c>
      <c r="AM153" s="1">
        <v>1</v>
      </c>
      <c r="AN153" s="12">
        <v>143773.58000000002</v>
      </c>
      <c r="AO153" s="12">
        <v>9</v>
      </c>
      <c r="AP153" s="12">
        <v>1</v>
      </c>
      <c r="AQ153" s="12">
        <v>8</v>
      </c>
      <c r="AR153" s="12" t="s">
        <v>48</v>
      </c>
      <c r="AS153" s="12">
        <v>0</v>
      </c>
      <c r="AT153" s="14">
        <v>0</v>
      </c>
    </row>
    <row r="154" spans="1:46" ht="26.4" x14ac:dyDescent="0.3">
      <c r="A154" s="13">
        <v>153</v>
      </c>
      <c r="B154" s="7">
        <v>2</v>
      </c>
      <c r="C154" s="7" t="s">
        <v>14</v>
      </c>
      <c r="D154" s="7" t="s">
        <v>29</v>
      </c>
      <c r="E154" s="2" t="s">
        <v>41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1</v>
      </c>
      <c r="Q154" s="2">
        <v>0</v>
      </c>
      <c r="R154" s="2">
        <v>0</v>
      </c>
      <c r="S154" s="36">
        <v>0</v>
      </c>
      <c r="T154" s="8">
        <v>11.2</v>
      </c>
      <c r="U154" s="7">
        <v>98</v>
      </c>
      <c r="V154" s="9">
        <v>128</v>
      </c>
      <c r="W154" s="9">
        <v>24</v>
      </c>
      <c r="X154" s="35" t="s">
        <v>111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35">
        <v>1</v>
      </c>
      <c r="AF154" s="8">
        <v>12</v>
      </c>
      <c r="AG154" s="1" t="s">
        <v>24</v>
      </c>
      <c r="AH154" s="1">
        <v>0</v>
      </c>
      <c r="AI154" s="1">
        <v>0</v>
      </c>
      <c r="AJ154" s="7" t="s">
        <v>19</v>
      </c>
      <c r="AK154" s="1">
        <v>1</v>
      </c>
      <c r="AL154" s="1" t="s">
        <v>25</v>
      </c>
      <c r="AM154" s="1">
        <v>1</v>
      </c>
      <c r="AN154" s="12">
        <v>142326.04</v>
      </c>
      <c r="AO154" s="12">
        <v>7</v>
      </c>
      <c r="AP154" s="12">
        <v>1</v>
      </c>
      <c r="AQ154" s="12">
        <v>6</v>
      </c>
      <c r="AR154" s="12" t="s">
        <v>48</v>
      </c>
      <c r="AS154" s="12">
        <v>0</v>
      </c>
      <c r="AT154" s="14">
        <v>0</v>
      </c>
    </row>
    <row r="155" spans="1:46" x14ac:dyDescent="0.3">
      <c r="A155" s="13">
        <v>154</v>
      </c>
      <c r="B155" s="7">
        <v>3</v>
      </c>
      <c r="C155" s="7" t="s">
        <v>14</v>
      </c>
      <c r="D155" s="7" t="s">
        <v>29</v>
      </c>
      <c r="E155" s="2" t="s">
        <v>45</v>
      </c>
      <c r="F155" s="2">
        <v>0</v>
      </c>
      <c r="G155" s="2">
        <v>0</v>
      </c>
      <c r="H155" s="2">
        <v>0</v>
      </c>
      <c r="I155" s="2">
        <v>0</v>
      </c>
      <c r="J155" s="2">
        <v>1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36">
        <v>0</v>
      </c>
      <c r="T155" s="8">
        <v>12.5</v>
      </c>
      <c r="U155" s="7">
        <v>93</v>
      </c>
      <c r="V155" s="9">
        <v>104</v>
      </c>
      <c r="W155" s="9">
        <v>22</v>
      </c>
      <c r="X155" s="35" t="s">
        <v>111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35">
        <v>1</v>
      </c>
      <c r="AF155" s="8">
        <v>11.1</v>
      </c>
      <c r="AG155" s="1" t="s">
        <v>24</v>
      </c>
      <c r="AH155" s="1">
        <v>0</v>
      </c>
      <c r="AI155" s="1">
        <v>0</v>
      </c>
      <c r="AJ155" s="7" t="s">
        <v>19</v>
      </c>
      <c r="AK155" s="1">
        <v>1</v>
      </c>
      <c r="AL155" s="1" t="s">
        <v>25</v>
      </c>
      <c r="AM155" s="1">
        <v>1</v>
      </c>
      <c r="AN155" s="12">
        <v>140545</v>
      </c>
      <c r="AO155" s="12">
        <v>12</v>
      </c>
      <c r="AP155" s="12">
        <v>1</v>
      </c>
      <c r="AQ155" s="12">
        <v>11</v>
      </c>
      <c r="AR155" s="12" t="s">
        <v>48</v>
      </c>
      <c r="AS155" s="12">
        <v>0</v>
      </c>
      <c r="AT155" s="14">
        <v>0</v>
      </c>
    </row>
    <row r="156" spans="1:46" x14ac:dyDescent="0.3">
      <c r="A156" s="13">
        <v>155</v>
      </c>
      <c r="B156" s="7">
        <v>1</v>
      </c>
      <c r="C156" s="7" t="s">
        <v>27</v>
      </c>
      <c r="D156" s="7" t="s">
        <v>29</v>
      </c>
      <c r="E156" s="2" t="s">
        <v>16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1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36">
        <v>0</v>
      </c>
      <c r="T156" s="8">
        <v>8.8000000000000007</v>
      </c>
      <c r="U156" s="7">
        <v>78</v>
      </c>
      <c r="V156" s="9">
        <v>100</v>
      </c>
      <c r="W156" s="9">
        <v>30</v>
      </c>
      <c r="X156" s="35" t="s">
        <v>111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35">
        <v>1</v>
      </c>
      <c r="AF156" s="8">
        <v>12.6</v>
      </c>
      <c r="AG156" s="1" t="s">
        <v>24</v>
      </c>
      <c r="AH156" s="1">
        <v>0</v>
      </c>
      <c r="AI156" s="1">
        <v>0</v>
      </c>
      <c r="AJ156" s="7" t="s">
        <v>19</v>
      </c>
      <c r="AK156" s="1">
        <v>1</v>
      </c>
      <c r="AL156" s="1" t="s">
        <v>25</v>
      </c>
      <c r="AM156" s="1">
        <v>1</v>
      </c>
      <c r="AN156" s="12">
        <v>57140.85</v>
      </c>
      <c r="AO156" s="12">
        <v>8</v>
      </c>
      <c r="AP156" s="12">
        <v>1</v>
      </c>
      <c r="AQ156" s="12">
        <v>7</v>
      </c>
      <c r="AR156" s="12" t="s">
        <v>48</v>
      </c>
      <c r="AS156" s="12">
        <v>0</v>
      </c>
      <c r="AT156" s="14">
        <v>0</v>
      </c>
    </row>
    <row r="157" spans="1:46" x14ac:dyDescent="0.3">
      <c r="A157" s="13">
        <v>156</v>
      </c>
      <c r="B157" s="7">
        <v>5</v>
      </c>
      <c r="C157" s="7" t="s">
        <v>27</v>
      </c>
      <c r="D157" s="7" t="s">
        <v>29</v>
      </c>
      <c r="E157" s="2" t="s">
        <v>16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36">
        <v>0</v>
      </c>
      <c r="T157" s="8">
        <v>15</v>
      </c>
      <c r="U157" s="7">
        <v>99</v>
      </c>
      <c r="V157" s="9">
        <v>80</v>
      </c>
      <c r="W157" s="9">
        <v>20</v>
      </c>
      <c r="X157" s="35" t="s">
        <v>111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35">
        <v>1</v>
      </c>
      <c r="AF157" s="8">
        <v>18.899999999999999</v>
      </c>
      <c r="AG157" s="1" t="s">
        <v>24</v>
      </c>
      <c r="AH157" s="1">
        <v>0</v>
      </c>
      <c r="AI157" s="1">
        <v>0</v>
      </c>
      <c r="AJ157" s="7" t="s">
        <v>19</v>
      </c>
      <c r="AK157" s="1">
        <v>1</v>
      </c>
      <c r="AL157" s="1" t="s">
        <v>25</v>
      </c>
      <c r="AM157" s="1">
        <v>1</v>
      </c>
      <c r="AN157" s="12">
        <v>131727</v>
      </c>
      <c r="AO157" s="12">
        <v>8</v>
      </c>
      <c r="AP157" s="12">
        <v>1</v>
      </c>
      <c r="AQ157" s="12">
        <v>7</v>
      </c>
      <c r="AR157" s="12" t="s">
        <v>48</v>
      </c>
      <c r="AS157" s="12">
        <v>0</v>
      </c>
      <c r="AT157" s="14">
        <v>0</v>
      </c>
    </row>
    <row r="158" spans="1:46" x14ac:dyDescent="0.3">
      <c r="A158" s="13">
        <v>157</v>
      </c>
      <c r="B158" s="7">
        <v>4</v>
      </c>
      <c r="C158" s="7" t="s">
        <v>27</v>
      </c>
      <c r="D158" s="7" t="s">
        <v>29</v>
      </c>
      <c r="E158" s="2" t="s">
        <v>43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1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36">
        <v>0</v>
      </c>
      <c r="T158" s="8">
        <v>13.4</v>
      </c>
      <c r="U158" s="7">
        <v>27</v>
      </c>
      <c r="V158" s="9">
        <v>120</v>
      </c>
      <c r="W158" s="9">
        <v>24</v>
      </c>
      <c r="X158" s="35" t="s">
        <v>111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35">
        <v>1</v>
      </c>
      <c r="AF158" s="8">
        <v>10.4</v>
      </c>
      <c r="AG158" s="1" t="s">
        <v>24</v>
      </c>
      <c r="AH158" s="1">
        <v>0</v>
      </c>
      <c r="AI158" s="1">
        <v>0</v>
      </c>
      <c r="AJ158" s="7" t="s">
        <v>19</v>
      </c>
      <c r="AK158" s="1">
        <v>1</v>
      </c>
      <c r="AL158" s="1" t="s">
        <v>25</v>
      </c>
      <c r="AM158" s="1">
        <v>1</v>
      </c>
      <c r="AN158" s="12">
        <v>132226</v>
      </c>
      <c r="AO158" s="12">
        <v>10</v>
      </c>
      <c r="AP158" s="12">
        <v>2</v>
      </c>
      <c r="AQ158" s="12">
        <v>8</v>
      </c>
      <c r="AR158" s="12" t="s">
        <v>48</v>
      </c>
      <c r="AS158" s="12">
        <v>0</v>
      </c>
      <c r="AT158" s="14">
        <v>0</v>
      </c>
    </row>
    <row r="159" spans="1:46" ht="26.4" x14ac:dyDescent="0.3">
      <c r="A159" s="13">
        <v>158</v>
      </c>
      <c r="B159" s="30">
        <v>3.287671232876712E-2</v>
      </c>
      <c r="C159" s="7" t="s">
        <v>14</v>
      </c>
      <c r="D159" s="7" t="s">
        <v>29</v>
      </c>
      <c r="E159" s="2" t="s">
        <v>34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1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36">
        <v>0</v>
      </c>
      <c r="T159" s="8">
        <v>2.02</v>
      </c>
      <c r="U159" s="7">
        <v>45</v>
      </c>
      <c r="V159" s="9">
        <v>120</v>
      </c>
      <c r="W159" s="9">
        <v>32</v>
      </c>
      <c r="X159" s="35" t="s">
        <v>111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35">
        <v>1</v>
      </c>
      <c r="AF159" s="8">
        <v>18.8</v>
      </c>
      <c r="AG159" s="1" t="s">
        <v>24</v>
      </c>
      <c r="AH159" s="1">
        <v>0</v>
      </c>
      <c r="AI159" s="1">
        <v>0</v>
      </c>
      <c r="AJ159" s="7" t="s">
        <v>19</v>
      </c>
      <c r="AK159" s="1">
        <v>1</v>
      </c>
      <c r="AL159" s="1" t="s">
        <v>25</v>
      </c>
      <c r="AM159" s="1">
        <v>1</v>
      </c>
      <c r="AN159" s="12">
        <v>77241</v>
      </c>
      <c r="AO159" s="12">
        <v>7</v>
      </c>
      <c r="AP159" s="12">
        <v>1</v>
      </c>
      <c r="AQ159" s="12">
        <v>6</v>
      </c>
      <c r="AR159" s="12" t="s">
        <v>48</v>
      </c>
      <c r="AS159" s="12">
        <v>0</v>
      </c>
      <c r="AT159" s="14">
        <v>0</v>
      </c>
    </row>
    <row r="160" spans="1:46" x14ac:dyDescent="0.3">
      <c r="A160" s="13">
        <v>159</v>
      </c>
      <c r="B160" s="7">
        <v>74</v>
      </c>
      <c r="C160" s="7" t="s">
        <v>14</v>
      </c>
      <c r="D160" s="7" t="s">
        <v>15</v>
      </c>
      <c r="E160" s="2" t="s">
        <v>46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1</v>
      </c>
      <c r="O160" s="2">
        <v>0</v>
      </c>
      <c r="P160" s="2">
        <v>0</v>
      </c>
      <c r="Q160" s="2">
        <v>0</v>
      </c>
      <c r="R160" s="2">
        <v>0</v>
      </c>
      <c r="S160" s="36">
        <v>0</v>
      </c>
      <c r="T160" s="8">
        <v>64.3</v>
      </c>
      <c r="U160" s="7">
        <v>155</v>
      </c>
      <c r="V160" s="9">
        <v>102</v>
      </c>
      <c r="W160" s="9">
        <v>24</v>
      </c>
      <c r="X160" s="1" t="s">
        <v>40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1</v>
      </c>
      <c r="AE160" s="1">
        <v>0</v>
      </c>
      <c r="AF160" s="8">
        <v>9.6999999999999993</v>
      </c>
      <c r="AG160" s="7" t="s">
        <v>18</v>
      </c>
      <c r="AH160" s="1">
        <v>1</v>
      </c>
      <c r="AI160" s="7">
        <v>0</v>
      </c>
      <c r="AJ160" s="7" t="s">
        <v>19</v>
      </c>
      <c r="AK160" s="1">
        <v>1</v>
      </c>
      <c r="AL160" s="7" t="s">
        <v>20</v>
      </c>
      <c r="AM160" s="1">
        <v>0</v>
      </c>
      <c r="AN160" s="12">
        <v>55885.7</v>
      </c>
      <c r="AO160" s="12">
        <v>8</v>
      </c>
      <c r="AP160" s="12">
        <v>2</v>
      </c>
      <c r="AQ160" s="12">
        <v>6</v>
      </c>
      <c r="AR160" s="12" t="s">
        <v>48</v>
      </c>
      <c r="AS160" s="12">
        <v>0</v>
      </c>
      <c r="AT160" s="14">
        <v>0</v>
      </c>
    </row>
    <row r="161" spans="1:46" ht="26.4" x14ac:dyDescent="0.3">
      <c r="A161" s="13">
        <v>160</v>
      </c>
      <c r="B161" s="7">
        <v>12</v>
      </c>
      <c r="C161" s="7" t="s">
        <v>14</v>
      </c>
      <c r="D161" s="7" t="s">
        <v>29</v>
      </c>
      <c r="E161" s="2" t="s">
        <v>34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1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36">
        <v>0</v>
      </c>
      <c r="T161" s="8">
        <v>23.5</v>
      </c>
      <c r="U161" s="7">
        <v>130</v>
      </c>
      <c r="V161" s="9">
        <v>90</v>
      </c>
      <c r="W161" s="9">
        <v>22</v>
      </c>
      <c r="X161" s="35" t="s">
        <v>111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35">
        <v>1</v>
      </c>
      <c r="AF161" s="8">
        <v>12.8</v>
      </c>
      <c r="AG161" s="1" t="s">
        <v>24</v>
      </c>
      <c r="AH161" s="1">
        <v>0</v>
      </c>
      <c r="AI161" s="1">
        <v>0</v>
      </c>
      <c r="AJ161" s="7" t="s">
        <v>19</v>
      </c>
      <c r="AK161" s="1">
        <v>1</v>
      </c>
      <c r="AL161" s="1" t="s">
        <v>25</v>
      </c>
      <c r="AM161" s="1">
        <v>1</v>
      </c>
      <c r="AN161" s="12">
        <v>49700</v>
      </c>
      <c r="AO161" s="12">
        <v>3</v>
      </c>
      <c r="AP161" s="12">
        <v>0</v>
      </c>
      <c r="AQ161" s="12">
        <v>3</v>
      </c>
      <c r="AR161" s="12" t="s">
        <v>48</v>
      </c>
      <c r="AS161" s="12">
        <v>0</v>
      </c>
      <c r="AT161" s="14">
        <v>0</v>
      </c>
    </row>
    <row r="162" spans="1:46" x14ac:dyDescent="0.3">
      <c r="A162" s="13">
        <v>161</v>
      </c>
      <c r="B162" s="7">
        <v>6</v>
      </c>
      <c r="C162" s="7" t="s">
        <v>14</v>
      </c>
      <c r="D162" s="7" t="s">
        <v>29</v>
      </c>
      <c r="E162" s="2" t="s">
        <v>28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1</v>
      </c>
      <c r="S162" s="36">
        <v>0</v>
      </c>
      <c r="T162" s="8">
        <v>17.5</v>
      </c>
      <c r="U162" s="7">
        <v>114</v>
      </c>
      <c r="V162" s="9">
        <v>102</v>
      </c>
      <c r="W162" s="9">
        <v>28</v>
      </c>
      <c r="X162" s="35" t="s">
        <v>111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35">
        <v>1</v>
      </c>
      <c r="AF162" s="8">
        <v>12.4</v>
      </c>
      <c r="AG162" s="1" t="s">
        <v>24</v>
      </c>
      <c r="AH162" s="1">
        <v>0</v>
      </c>
      <c r="AI162" s="1">
        <v>0</v>
      </c>
      <c r="AJ162" s="7" t="s">
        <v>19</v>
      </c>
      <c r="AK162" s="1">
        <v>1</v>
      </c>
      <c r="AL162" s="1" t="s">
        <v>25</v>
      </c>
      <c r="AM162" s="1">
        <v>1</v>
      </c>
      <c r="AN162" s="12">
        <v>155352</v>
      </c>
      <c r="AO162" s="12">
        <v>11</v>
      </c>
      <c r="AP162" s="12">
        <v>2</v>
      </c>
      <c r="AQ162" s="12">
        <v>9</v>
      </c>
      <c r="AR162" s="12" t="s">
        <v>47</v>
      </c>
      <c r="AS162" s="12">
        <v>1</v>
      </c>
      <c r="AT162" s="14">
        <v>21498</v>
      </c>
    </row>
    <row r="163" spans="1:46" x14ac:dyDescent="0.3">
      <c r="A163" s="13">
        <v>162</v>
      </c>
      <c r="B163" s="7">
        <v>5</v>
      </c>
      <c r="C163" s="7" t="s">
        <v>14</v>
      </c>
      <c r="D163" s="7" t="s">
        <v>29</v>
      </c>
      <c r="E163" s="2" t="s">
        <v>16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1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36">
        <v>0</v>
      </c>
      <c r="T163" s="8">
        <v>15</v>
      </c>
      <c r="U163" s="7">
        <v>105</v>
      </c>
      <c r="V163" s="9">
        <v>110</v>
      </c>
      <c r="W163" s="9">
        <v>32</v>
      </c>
      <c r="X163" s="35" t="s">
        <v>111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35">
        <v>1</v>
      </c>
      <c r="AF163" s="8">
        <v>12.4</v>
      </c>
      <c r="AG163" s="1" t="s">
        <v>24</v>
      </c>
      <c r="AH163" s="1">
        <v>0</v>
      </c>
      <c r="AI163" s="1">
        <v>0</v>
      </c>
      <c r="AJ163" s="7" t="s">
        <v>19</v>
      </c>
      <c r="AK163" s="1">
        <v>1</v>
      </c>
      <c r="AL163" s="1" t="s">
        <v>25</v>
      </c>
      <c r="AM163" s="1">
        <v>1</v>
      </c>
      <c r="AN163" s="12">
        <v>288614.2</v>
      </c>
      <c r="AO163" s="12">
        <v>25</v>
      </c>
      <c r="AP163" s="12">
        <v>6</v>
      </c>
      <c r="AQ163" s="12">
        <v>20</v>
      </c>
      <c r="AR163" s="12" t="s">
        <v>48</v>
      </c>
      <c r="AS163" s="12">
        <v>0</v>
      </c>
      <c r="AT163" s="14">
        <v>0</v>
      </c>
    </row>
    <row r="164" spans="1:46" x14ac:dyDescent="0.3">
      <c r="A164" s="13">
        <v>163</v>
      </c>
      <c r="B164" s="7">
        <v>6</v>
      </c>
      <c r="C164" s="7" t="s">
        <v>14</v>
      </c>
      <c r="D164" s="7" t="s">
        <v>29</v>
      </c>
      <c r="E164" s="2" t="s">
        <v>16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1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36">
        <v>0</v>
      </c>
      <c r="T164" s="8">
        <v>13</v>
      </c>
      <c r="U164" s="7">
        <v>39</v>
      </c>
      <c r="V164" s="9">
        <v>80</v>
      </c>
      <c r="W164" s="9">
        <v>24</v>
      </c>
      <c r="X164" s="35" t="s">
        <v>111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35">
        <v>1</v>
      </c>
      <c r="AF164" s="8">
        <v>17.899999999999999</v>
      </c>
      <c r="AG164" s="1" t="s">
        <v>24</v>
      </c>
      <c r="AH164" s="1">
        <v>0</v>
      </c>
      <c r="AI164" s="1">
        <v>0</v>
      </c>
      <c r="AJ164" s="7" t="s">
        <v>19</v>
      </c>
      <c r="AK164" s="1">
        <v>1</v>
      </c>
      <c r="AL164" s="1" t="s">
        <v>25</v>
      </c>
      <c r="AM164" s="1">
        <v>1</v>
      </c>
      <c r="AN164" s="12">
        <v>239570.4</v>
      </c>
      <c r="AO164" s="12">
        <v>22</v>
      </c>
      <c r="AP164" s="12">
        <v>6</v>
      </c>
      <c r="AQ164" s="12">
        <v>16</v>
      </c>
      <c r="AR164" s="12" t="s">
        <v>48</v>
      </c>
      <c r="AS164" s="12">
        <v>0</v>
      </c>
      <c r="AT164" s="14">
        <v>0</v>
      </c>
    </row>
    <row r="165" spans="1:46" ht="26.4" x14ac:dyDescent="0.3">
      <c r="A165" s="13">
        <v>164</v>
      </c>
      <c r="B165" s="7">
        <v>13</v>
      </c>
      <c r="C165" s="7" t="s">
        <v>27</v>
      </c>
      <c r="D165" s="7" t="s">
        <v>29</v>
      </c>
      <c r="E165" s="2" t="s">
        <v>41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1</v>
      </c>
      <c r="Q165" s="2">
        <v>0</v>
      </c>
      <c r="R165" s="2">
        <v>0</v>
      </c>
      <c r="S165" s="36">
        <v>0</v>
      </c>
      <c r="T165" s="8">
        <v>31</v>
      </c>
      <c r="U165" s="7">
        <v>145</v>
      </c>
      <c r="V165" s="9">
        <v>100</v>
      </c>
      <c r="W165" s="9">
        <v>24</v>
      </c>
      <c r="X165" s="35" t="s">
        <v>111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35">
        <v>1</v>
      </c>
      <c r="AF165" s="8">
        <v>23.2</v>
      </c>
      <c r="AG165" s="1" t="s">
        <v>24</v>
      </c>
      <c r="AH165" s="1">
        <v>0</v>
      </c>
      <c r="AI165" s="1">
        <v>0</v>
      </c>
      <c r="AJ165" s="7" t="s">
        <v>19</v>
      </c>
      <c r="AK165" s="1">
        <v>1</v>
      </c>
      <c r="AL165" s="1" t="s">
        <v>25</v>
      </c>
      <c r="AM165" s="1">
        <v>1</v>
      </c>
      <c r="AN165" s="12">
        <v>170302</v>
      </c>
      <c r="AO165" s="12">
        <v>12</v>
      </c>
      <c r="AP165" s="12">
        <v>3</v>
      </c>
      <c r="AQ165" s="12">
        <v>10</v>
      </c>
      <c r="AR165" s="12" t="s">
        <v>48</v>
      </c>
      <c r="AS165" s="12">
        <v>0</v>
      </c>
      <c r="AT165" s="14">
        <v>0</v>
      </c>
    </row>
    <row r="166" spans="1:46" x14ac:dyDescent="0.3">
      <c r="A166" s="13">
        <v>165</v>
      </c>
      <c r="B166" s="7">
        <v>9</v>
      </c>
      <c r="C166" s="7" t="s">
        <v>27</v>
      </c>
      <c r="D166" s="7" t="s">
        <v>29</v>
      </c>
      <c r="E166" s="2" t="s">
        <v>43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1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36">
        <v>0</v>
      </c>
      <c r="T166" s="8">
        <v>20</v>
      </c>
      <c r="U166" s="7">
        <v>50</v>
      </c>
      <c r="V166" s="9">
        <v>90</v>
      </c>
      <c r="W166" s="9">
        <v>24</v>
      </c>
      <c r="X166" s="35" t="s">
        <v>111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35">
        <v>1</v>
      </c>
      <c r="AF166" s="8">
        <v>9.9</v>
      </c>
      <c r="AG166" s="1" t="s">
        <v>24</v>
      </c>
      <c r="AH166" s="1">
        <v>0</v>
      </c>
      <c r="AI166" s="1">
        <v>0</v>
      </c>
      <c r="AJ166" s="7" t="s">
        <v>19</v>
      </c>
      <c r="AK166" s="1">
        <v>1</v>
      </c>
      <c r="AL166" s="1" t="s">
        <v>25</v>
      </c>
      <c r="AM166" s="1">
        <v>1</v>
      </c>
      <c r="AN166" s="12">
        <v>141232.16999999998</v>
      </c>
      <c r="AO166" s="12">
        <v>12</v>
      </c>
      <c r="AP166" s="12">
        <v>1</v>
      </c>
      <c r="AQ166" s="12">
        <v>12</v>
      </c>
      <c r="AR166" s="12" t="s">
        <v>48</v>
      </c>
      <c r="AS166" s="12">
        <v>0</v>
      </c>
      <c r="AT166" s="14">
        <v>0</v>
      </c>
    </row>
    <row r="167" spans="1:46" x14ac:dyDescent="0.3">
      <c r="A167" s="13">
        <v>166</v>
      </c>
      <c r="B167" s="7">
        <v>51</v>
      </c>
      <c r="C167" s="7" t="s">
        <v>14</v>
      </c>
      <c r="D167" s="7" t="s">
        <v>15</v>
      </c>
      <c r="E167" s="2" t="s">
        <v>21</v>
      </c>
      <c r="F167" s="2">
        <v>0</v>
      </c>
      <c r="G167" s="2">
        <v>1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36">
        <v>0</v>
      </c>
      <c r="T167" s="8">
        <v>47</v>
      </c>
      <c r="U167" s="7">
        <v>152</v>
      </c>
      <c r="V167" s="9">
        <v>67</v>
      </c>
      <c r="W167" s="9">
        <v>12</v>
      </c>
      <c r="X167" s="35" t="s">
        <v>111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35">
        <v>1</v>
      </c>
      <c r="AF167" s="8">
        <v>14.9</v>
      </c>
      <c r="AG167" s="1" t="s">
        <v>24</v>
      </c>
      <c r="AH167" s="1">
        <v>0</v>
      </c>
      <c r="AI167" s="1">
        <v>0</v>
      </c>
      <c r="AJ167" s="7" t="s">
        <v>19</v>
      </c>
      <c r="AK167" s="1">
        <v>1</v>
      </c>
      <c r="AL167" s="7" t="s">
        <v>20</v>
      </c>
      <c r="AM167" s="1">
        <v>0</v>
      </c>
      <c r="AN167" s="12">
        <v>102537.85</v>
      </c>
      <c r="AO167" s="12">
        <v>11</v>
      </c>
      <c r="AP167" s="12">
        <v>2</v>
      </c>
      <c r="AQ167" s="12">
        <v>9</v>
      </c>
      <c r="AR167" s="12" t="s">
        <v>48</v>
      </c>
      <c r="AS167" s="12">
        <v>0</v>
      </c>
      <c r="AT167" s="14">
        <v>0</v>
      </c>
    </row>
    <row r="168" spans="1:46" x14ac:dyDescent="0.3">
      <c r="A168" s="13">
        <v>167</v>
      </c>
      <c r="B168" s="7">
        <v>74</v>
      </c>
      <c r="C168" s="7" t="s">
        <v>14</v>
      </c>
      <c r="D168" s="7" t="s">
        <v>15</v>
      </c>
      <c r="E168" s="2" t="s">
        <v>21</v>
      </c>
      <c r="F168" s="2">
        <v>0</v>
      </c>
      <c r="G168" s="2">
        <v>1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36">
        <v>0</v>
      </c>
      <c r="T168" s="8">
        <v>57.1</v>
      </c>
      <c r="U168" s="7">
        <v>157</v>
      </c>
      <c r="V168" s="9">
        <v>94</v>
      </c>
      <c r="W168" s="9">
        <v>20</v>
      </c>
      <c r="X168" s="1" t="s">
        <v>31</v>
      </c>
      <c r="Y168" s="1">
        <v>0</v>
      </c>
      <c r="Z168" s="1">
        <v>0</v>
      </c>
      <c r="AA168" s="1">
        <v>0</v>
      </c>
      <c r="AB168" s="1">
        <v>1</v>
      </c>
      <c r="AC168" s="1">
        <v>0</v>
      </c>
      <c r="AD168" s="1">
        <v>0</v>
      </c>
      <c r="AE168" s="1">
        <v>0</v>
      </c>
      <c r="AF168" s="8">
        <v>11.2</v>
      </c>
      <c r="AG168" s="7" t="s">
        <v>18</v>
      </c>
      <c r="AH168" s="1">
        <v>1</v>
      </c>
      <c r="AI168" s="7">
        <v>0</v>
      </c>
      <c r="AJ168" s="7" t="s">
        <v>19</v>
      </c>
      <c r="AK168" s="1">
        <v>1</v>
      </c>
      <c r="AL168" s="7" t="s">
        <v>20</v>
      </c>
      <c r="AM168" s="1">
        <v>0</v>
      </c>
      <c r="AN168" s="12">
        <v>219126.24</v>
      </c>
      <c r="AO168" s="12">
        <v>12</v>
      </c>
      <c r="AP168" s="12">
        <v>6</v>
      </c>
      <c r="AQ168" s="12">
        <v>6</v>
      </c>
      <c r="AR168" s="12" t="s">
        <v>48</v>
      </c>
      <c r="AS168" s="12">
        <v>0</v>
      </c>
      <c r="AT168" s="14">
        <v>0</v>
      </c>
    </row>
    <row r="169" spans="1:46" x14ac:dyDescent="0.3">
      <c r="A169" s="13">
        <v>168</v>
      </c>
      <c r="B169" s="7">
        <v>27</v>
      </c>
      <c r="C169" s="7" t="s">
        <v>14</v>
      </c>
      <c r="D169" s="7" t="s">
        <v>29</v>
      </c>
      <c r="E169" s="2" t="s">
        <v>28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1</v>
      </c>
      <c r="S169" s="36">
        <v>0</v>
      </c>
      <c r="T169" s="8">
        <v>60</v>
      </c>
      <c r="U169" s="7">
        <v>166</v>
      </c>
      <c r="V169" s="9">
        <v>68</v>
      </c>
      <c r="W169" s="9">
        <v>25</v>
      </c>
      <c r="X169" s="35" t="s">
        <v>111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35">
        <v>1</v>
      </c>
      <c r="AF169" s="8">
        <v>14.9</v>
      </c>
      <c r="AG169" s="1" t="s">
        <v>24</v>
      </c>
      <c r="AH169" s="1">
        <v>0</v>
      </c>
      <c r="AI169" s="1">
        <v>0</v>
      </c>
      <c r="AJ169" s="7" t="s">
        <v>19</v>
      </c>
      <c r="AK169" s="1">
        <v>1</v>
      </c>
      <c r="AL169" s="1" t="s">
        <v>25</v>
      </c>
      <c r="AM169" s="1">
        <v>1</v>
      </c>
      <c r="AN169" s="12">
        <v>204852.36</v>
      </c>
      <c r="AO169" s="12">
        <v>10</v>
      </c>
      <c r="AP169" s="12">
        <v>2</v>
      </c>
      <c r="AQ169" s="12">
        <v>9</v>
      </c>
      <c r="AR169" s="12" t="s">
        <v>47</v>
      </c>
      <c r="AS169" s="12">
        <v>1</v>
      </c>
      <c r="AT169" s="14">
        <v>51450</v>
      </c>
    </row>
    <row r="170" spans="1:46" x14ac:dyDescent="0.3">
      <c r="A170" s="13">
        <v>169</v>
      </c>
      <c r="B170" s="7">
        <v>55</v>
      </c>
      <c r="C170" s="7" t="s">
        <v>14</v>
      </c>
      <c r="D170" s="7" t="s">
        <v>15</v>
      </c>
      <c r="E170" s="2" t="s">
        <v>21</v>
      </c>
      <c r="F170" s="2">
        <v>0</v>
      </c>
      <c r="G170" s="2">
        <v>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36">
        <v>0</v>
      </c>
      <c r="T170" s="8">
        <v>64.900000000000006</v>
      </c>
      <c r="U170" s="7">
        <v>167</v>
      </c>
      <c r="V170" s="9">
        <v>74</v>
      </c>
      <c r="W170" s="9">
        <v>18</v>
      </c>
      <c r="X170" s="1" t="s">
        <v>32</v>
      </c>
      <c r="Y170" s="1">
        <v>1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8">
        <v>16.2</v>
      </c>
      <c r="AG170" s="7" t="s">
        <v>18</v>
      </c>
      <c r="AH170" s="1">
        <v>1</v>
      </c>
      <c r="AI170" s="7">
        <v>0</v>
      </c>
      <c r="AJ170" s="7" t="s">
        <v>19</v>
      </c>
      <c r="AK170" s="1">
        <v>1</v>
      </c>
      <c r="AL170" s="7" t="s">
        <v>20</v>
      </c>
      <c r="AM170" s="1">
        <v>0</v>
      </c>
      <c r="AN170" s="12">
        <v>253368</v>
      </c>
      <c r="AO170" s="12">
        <v>16</v>
      </c>
      <c r="AP170" s="12">
        <v>8</v>
      </c>
      <c r="AQ170" s="12">
        <v>8</v>
      </c>
      <c r="AR170" s="12" t="s">
        <v>48</v>
      </c>
      <c r="AS170" s="12">
        <v>0</v>
      </c>
      <c r="AT170" s="14">
        <v>0</v>
      </c>
    </row>
    <row r="171" spans="1:46" x14ac:dyDescent="0.3">
      <c r="A171" s="13">
        <v>170</v>
      </c>
      <c r="B171" s="7">
        <v>70</v>
      </c>
      <c r="C171" s="7" t="s">
        <v>14</v>
      </c>
      <c r="D171" s="7" t="s">
        <v>15</v>
      </c>
      <c r="E171" s="2" t="s">
        <v>21</v>
      </c>
      <c r="F171" s="2">
        <v>0</v>
      </c>
      <c r="G171" s="2">
        <v>1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36">
        <v>0</v>
      </c>
      <c r="T171" s="8">
        <v>54.7</v>
      </c>
      <c r="U171" s="7">
        <v>168</v>
      </c>
      <c r="V171" s="9">
        <v>68</v>
      </c>
      <c r="W171" s="9">
        <v>22</v>
      </c>
      <c r="X171" s="1" t="s">
        <v>39</v>
      </c>
      <c r="Y171" s="1">
        <v>0</v>
      </c>
      <c r="Z171" s="1">
        <v>0</v>
      </c>
      <c r="AA171" s="1">
        <v>1</v>
      </c>
      <c r="AB171" s="1">
        <v>0</v>
      </c>
      <c r="AC171" s="1">
        <v>0</v>
      </c>
      <c r="AD171" s="1">
        <v>0</v>
      </c>
      <c r="AE171" s="1">
        <v>0</v>
      </c>
      <c r="AF171" s="8">
        <v>12.8</v>
      </c>
      <c r="AG171" s="1" t="s">
        <v>24</v>
      </c>
      <c r="AH171" s="1">
        <v>0</v>
      </c>
      <c r="AI171" s="1">
        <v>0</v>
      </c>
      <c r="AJ171" s="7" t="s">
        <v>19</v>
      </c>
      <c r="AK171" s="1">
        <v>1</v>
      </c>
      <c r="AL171" s="1" t="s">
        <v>25</v>
      </c>
      <c r="AM171" s="1">
        <v>1</v>
      </c>
      <c r="AN171" s="12">
        <v>162271</v>
      </c>
      <c r="AO171" s="12">
        <v>8</v>
      </c>
      <c r="AP171" s="12">
        <v>3</v>
      </c>
      <c r="AQ171" s="12">
        <v>5</v>
      </c>
      <c r="AR171" s="12" t="s">
        <v>48</v>
      </c>
      <c r="AS171" s="12">
        <v>0</v>
      </c>
      <c r="AT171" s="14">
        <v>0</v>
      </c>
    </row>
    <row r="172" spans="1:46" x14ac:dyDescent="0.3">
      <c r="A172" s="13">
        <v>171</v>
      </c>
      <c r="B172" s="7">
        <v>31</v>
      </c>
      <c r="C172" s="7" t="s">
        <v>27</v>
      </c>
      <c r="D172" s="7" t="s">
        <v>29</v>
      </c>
      <c r="E172" s="2" t="s">
        <v>28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1</v>
      </c>
      <c r="S172" s="36">
        <v>0</v>
      </c>
      <c r="T172" s="8">
        <v>44</v>
      </c>
      <c r="U172" s="7">
        <v>155</v>
      </c>
      <c r="V172" s="9">
        <v>80</v>
      </c>
      <c r="W172" s="9">
        <v>22</v>
      </c>
      <c r="X172" s="35" t="s">
        <v>111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35">
        <v>1</v>
      </c>
      <c r="AF172" s="8">
        <v>11.9</v>
      </c>
      <c r="AG172" s="1" t="s">
        <v>24</v>
      </c>
      <c r="AH172" s="1">
        <v>0</v>
      </c>
      <c r="AI172" s="1">
        <v>0</v>
      </c>
      <c r="AJ172" s="7" t="s">
        <v>19</v>
      </c>
      <c r="AK172" s="1">
        <v>1</v>
      </c>
      <c r="AL172" s="1" t="s">
        <v>25</v>
      </c>
      <c r="AM172" s="1">
        <v>1</v>
      </c>
      <c r="AN172" s="12">
        <v>293271</v>
      </c>
      <c r="AO172" s="12">
        <v>9</v>
      </c>
      <c r="AP172" s="12">
        <v>2</v>
      </c>
      <c r="AQ172" s="12">
        <v>7</v>
      </c>
      <c r="AR172" s="12" t="s">
        <v>47</v>
      </c>
      <c r="AS172" s="12">
        <v>1</v>
      </c>
      <c r="AT172" s="14">
        <v>102900</v>
      </c>
    </row>
    <row r="173" spans="1:46" x14ac:dyDescent="0.3">
      <c r="A173" s="13">
        <v>172</v>
      </c>
      <c r="B173" s="7">
        <v>14</v>
      </c>
      <c r="C173" s="7" t="s">
        <v>27</v>
      </c>
      <c r="D173" s="7" t="s">
        <v>29</v>
      </c>
      <c r="E173" s="2" t="s">
        <v>43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1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36">
        <v>0</v>
      </c>
      <c r="T173" s="8">
        <v>20</v>
      </c>
      <c r="U173" s="7">
        <v>122</v>
      </c>
      <c r="V173" s="9">
        <v>76</v>
      </c>
      <c r="W173" s="9">
        <v>22</v>
      </c>
      <c r="X173" s="35" t="s">
        <v>111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35">
        <v>1</v>
      </c>
      <c r="AF173" s="8">
        <v>15.3</v>
      </c>
      <c r="AG173" s="1" t="s">
        <v>24</v>
      </c>
      <c r="AH173" s="1">
        <v>0</v>
      </c>
      <c r="AI173" s="1">
        <v>0</v>
      </c>
      <c r="AJ173" s="7" t="s">
        <v>19</v>
      </c>
      <c r="AK173" s="1">
        <v>1</v>
      </c>
      <c r="AL173" s="1" t="s">
        <v>25</v>
      </c>
      <c r="AM173" s="1">
        <v>1</v>
      </c>
      <c r="AN173" s="12">
        <v>162957</v>
      </c>
      <c r="AO173" s="12">
        <v>15</v>
      </c>
      <c r="AP173" s="12">
        <v>3</v>
      </c>
      <c r="AQ173" s="12">
        <v>12</v>
      </c>
      <c r="AR173" s="12" t="s">
        <v>48</v>
      </c>
      <c r="AS173" s="12">
        <v>0</v>
      </c>
      <c r="AT173" s="14">
        <v>0</v>
      </c>
    </row>
    <row r="174" spans="1:46" x14ac:dyDescent="0.3">
      <c r="A174" s="13">
        <v>173</v>
      </c>
      <c r="B174" s="7">
        <v>2</v>
      </c>
      <c r="C174" s="7" t="s">
        <v>27</v>
      </c>
      <c r="D174" s="7" t="s">
        <v>29</v>
      </c>
      <c r="E174" s="2" t="s">
        <v>16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1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36">
        <v>0</v>
      </c>
      <c r="T174" s="8">
        <v>9.4</v>
      </c>
      <c r="U174" s="7">
        <v>74</v>
      </c>
      <c r="V174" s="9">
        <v>110</v>
      </c>
      <c r="W174" s="9">
        <v>24</v>
      </c>
      <c r="X174" s="35" t="s">
        <v>111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35">
        <v>1</v>
      </c>
      <c r="AF174" s="8">
        <v>11.9</v>
      </c>
      <c r="AG174" s="1" t="s">
        <v>24</v>
      </c>
      <c r="AH174" s="1">
        <v>0</v>
      </c>
      <c r="AI174" s="1">
        <v>0</v>
      </c>
      <c r="AJ174" s="7" t="s">
        <v>19</v>
      </c>
      <c r="AK174" s="1">
        <v>1</v>
      </c>
      <c r="AL174" s="1" t="s">
        <v>25</v>
      </c>
      <c r="AM174" s="1">
        <v>1</v>
      </c>
      <c r="AN174" s="12">
        <v>137273</v>
      </c>
      <c r="AO174" s="12">
        <v>8</v>
      </c>
      <c r="AP174" s="12">
        <v>1</v>
      </c>
      <c r="AQ174" s="12">
        <v>7</v>
      </c>
      <c r="AR174" s="12" t="s">
        <v>48</v>
      </c>
      <c r="AS174" s="12">
        <v>0</v>
      </c>
      <c r="AT174" s="14">
        <v>0</v>
      </c>
    </row>
    <row r="175" spans="1:46" x14ac:dyDescent="0.3">
      <c r="A175" s="13">
        <v>174</v>
      </c>
      <c r="B175" s="7">
        <v>44</v>
      </c>
      <c r="C175" s="7" t="s">
        <v>14</v>
      </c>
      <c r="D175" s="7" t="s">
        <v>15</v>
      </c>
      <c r="E175" s="2" t="s">
        <v>21</v>
      </c>
      <c r="F175" s="2">
        <v>0</v>
      </c>
      <c r="G175" s="2">
        <v>1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36">
        <v>0</v>
      </c>
      <c r="T175" s="8">
        <v>67.400000000000006</v>
      </c>
      <c r="U175" s="7">
        <v>172</v>
      </c>
      <c r="V175" s="9">
        <v>78</v>
      </c>
      <c r="W175" s="9">
        <v>24</v>
      </c>
      <c r="X175" s="1" t="s">
        <v>39</v>
      </c>
      <c r="Y175" s="1">
        <v>0</v>
      </c>
      <c r="Z175" s="1">
        <v>0</v>
      </c>
      <c r="AA175" s="1">
        <v>1</v>
      </c>
      <c r="AB175" s="1">
        <v>0</v>
      </c>
      <c r="AC175" s="1">
        <v>0</v>
      </c>
      <c r="AD175" s="1">
        <v>0</v>
      </c>
      <c r="AE175" s="1">
        <v>0</v>
      </c>
      <c r="AF175" s="8">
        <v>13.5</v>
      </c>
      <c r="AG175" s="1" t="s">
        <v>24</v>
      </c>
      <c r="AH175" s="1">
        <v>0</v>
      </c>
      <c r="AI175" s="1">
        <v>0</v>
      </c>
      <c r="AJ175" s="7" t="s">
        <v>19</v>
      </c>
      <c r="AK175" s="1">
        <v>1</v>
      </c>
      <c r="AL175" s="1" t="s">
        <v>25</v>
      </c>
      <c r="AM175" s="1">
        <v>1</v>
      </c>
      <c r="AN175" s="12">
        <v>199677</v>
      </c>
      <c r="AO175" s="12">
        <v>15</v>
      </c>
      <c r="AP175" s="12">
        <v>8</v>
      </c>
      <c r="AQ175" s="12">
        <v>7</v>
      </c>
      <c r="AR175" s="12" t="s">
        <v>48</v>
      </c>
      <c r="AS175" s="12">
        <v>0</v>
      </c>
      <c r="AT175" s="14">
        <v>0</v>
      </c>
    </row>
    <row r="176" spans="1:46" ht="26.4" x14ac:dyDescent="0.3">
      <c r="A176" s="13">
        <v>175</v>
      </c>
      <c r="B176" s="7">
        <v>13</v>
      </c>
      <c r="C176" s="7" t="s">
        <v>14</v>
      </c>
      <c r="D176" s="7" t="s">
        <v>29</v>
      </c>
      <c r="E176" s="2" t="s">
        <v>41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1</v>
      </c>
      <c r="Q176" s="2">
        <v>0</v>
      </c>
      <c r="R176" s="2">
        <v>0</v>
      </c>
      <c r="S176" s="36">
        <v>0</v>
      </c>
      <c r="T176" s="8">
        <v>29</v>
      </c>
      <c r="U176" s="7">
        <v>147</v>
      </c>
      <c r="V176" s="9">
        <v>112</v>
      </c>
      <c r="W176" s="9">
        <v>22</v>
      </c>
      <c r="X176" s="35" t="s">
        <v>111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35">
        <v>1</v>
      </c>
      <c r="AF176" s="8">
        <v>22.9</v>
      </c>
      <c r="AG176" s="1" t="s">
        <v>24</v>
      </c>
      <c r="AH176" s="1">
        <v>0</v>
      </c>
      <c r="AI176" s="1">
        <v>0</v>
      </c>
      <c r="AJ176" s="7" t="s">
        <v>19</v>
      </c>
      <c r="AK176" s="1">
        <v>1</v>
      </c>
      <c r="AL176" s="1" t="s">
        <v>25</v>
      </c>
      <c r="AM176" s="1">
        <v>1</v>
      </c>
      <c r="AN176" s="12">
        <v>161017</v>
      </c>
      <c r="AO176" s="12">
        <v>8</v>
      </c>
      <c r="AP176" s="12">
        <v>2</v>
      </c>
      <c r="AQ176" s="12">
        <v>6</v>
      </c>
      <c r="AR176" s="12" t="s">
        <v>48</v>
      </c>
      <c r="AS176" s="12">
        <v>0</v>
      </c>
      <c r="AT176" s="14">
        <v>0</v>
      </c>
    </row>
    <row r="177" spans="1:46" x14ac:dyDescent="0.3">
      <c r="A177" s="13">
        <v>176</v>
      </c>
      <c r="B177" s="7">
        <v>16</v>
      </c>
      <c r="C177" s="7" t="s">
        <v>27</v>
      </c>
      <c r="D177" s="7" t="s">
        <v>29</v>
      </c>
      <c r="E177" s="2" t="s">
        <v>28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1</v>
      </c>
      <c r="S177" s="36">
        <v>0</v>
      </c>
      <c r="T177" s="8">
        <v>36.4</v>
      </c>
      <c r="U177" s="7">
        <v>148</v>
      </c>
      <c r="V177" s="9">
        <v>78</v>
      </c>
      <c r="W177" s="9">
        <v>26</v>
      </c>
      <c r="X177" s="35" t="s">
        <v>111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35">
        <v>1</v>
      </c>
      <c r="AF177" s="8">
        <v>10.8</v>
      </c>
      <c r="AG177" s="1" t="s">
        <v>24</v>
      </c>
      <c r="AH177" s="1">
        <v>0</v>
      </c>
      <c r="AI177" s="1">
        <v>0</v>
      </c>
      <c r="AJ177" s="7" t="s">
        <v>19</v>
      </c>
      <c r="AK177" s="1">
        <v>1</v>
      </c>
      <c r="AL177" s="1" t="s">
        <v>25</v>
      </c>
      <c r="AM177" s="1">
        <v>1</v>
      </c>
      <c r="AN177" s="12">
        <v>199790</v>
      </c>
      <c r="AO177" s="12">
        <v>21</v>
      </c>
      <c r="AP177" s="12">
        <v>1</v>
      </c>
      <c r="AQ177" s="12">
        <v>20</v>
      </c>
      <c r="AR177" s="12" t="s">
        <v>47</v>
      </c>
      <c r="AS177" s="12">
        <v>1</v>
      </c>
      <c r="AT177" s="14">
        <v>21498</v>
      </c>
    </row>
    <row r="178" spans="1:46" x14ac:dyDescent="0.3">
      <c r="A178" s="13">
        <v>177</v>
      </c>
      <c r="B178" s="7">
        <v>65</v>
      </c>
      <c r="C178" s="7" t="s">
        <v>14</v>
      </c>
      <c r="D178" s="7" t="s">
        <v>15</v>
      </c>
      <c r="E178" s="2" t="s">
        <v>110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1</v>
      </c>
      <c r="T178" s="8">
        <v>62</v>
      </c>
      <c r="U178" s="7">
        <v>160</v>
      </c>
      <c r="V178" s="9">
        <v>41</v>
      </c>
      <c r="W178" s="9">
        <v>32</v>
      </c>
      <c r="X178" s="1" t="s">
        <v>26</v>
      </c>
      <c r="Y178" s="1">
        <v>0</v>
      </c>
      <c r="Z178" s="1">
        <v>0</v>
      </c>
      <c r="AA178" s="1">
        <v>1</v>
      </c>
      <c r="AB178" s="1">
        <v>0</v>
      </c>
      <c r="AC178" s="1">
        <v>0</v>
      </c>
      <c r="AD178" s="1">
        <v>0</v>
      </c>
      <c r="AE178" s="1">
        <v>0</v>
      </c>
      <c r="AF178" s="8">
        <v>14.6</v>
      </c>
      <c r="AG178" s="7" t="s">
        <v>18</v>
      </c>
      <c r="AH178" s="1">
        <v>1</v>
      </c>
      <c r="AI178" s="7">
        <v>0</v>
      </c>
      <c r="AJ178" s="7" t="s">
        <v>19</v>
      </c>
      <c r="AK178" s="1">
        <v>1</v>
      </c>
      <c r="AL178" s="7" t="s">
        <v>20</v>
      </c>
      <c r="AM178" s="1">
        <v>0</v>
      </c>
      <c r="AN178" s="12">
        <v>159882</v>
      </c>
      <c r="AO178" s="12">
        <v>10</v>
      </c>
      <c r="AP178" s="12">
        <v>6</v>
      </c>
      <c r="AQ178" s="12">
        <v>4</v>
      </c>
      <c r="AR178" s="12" t="s">
        <v>48</v>
      </c>
      <c r="AS178" s="12">
        <v>0</v>
      </c>
      <c r="AT178" s="14">
        <v>0</v>
      </c>
    </row>
    <row r="179" spans="1:46" x14ac:dyDescent="0.3">
      <c r="A179" s="13">
        <v>178</v>
      </c>
      <c r="B179" s="7">
        <v>7</v>
      </c>
      <c r="C179" s="7" t="s">
        <v>27</v>
      </c>
      <c r="D179" s="7" t="s">
        <v>29</v>
      </c>
      <c r="E179" s="2" t="s">
        <v>16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1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36">
        <v>0</v>
      </c>
      <c r="T179" s="8">
        <v>14.6</v>
      </c>
      <c r="U179" s="7">
        <v>19</v>
      </c>
      <c r="V179" s="9">
        <v>96</v>
      </c>
      <c r="W179" s="9">
        <v>24</v>
      </c>
      <c r="X179" s="35" t="s">
        <v>111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35">
        <v>1</v>
      </c>
      <c r="AF179" s="8">
        <v>9.6999999999999993</v>
      </c>
      <c r="AG179" s="1" t="s">
        <v>24</v>
      </c>
      <c r="AH179" s="1">
        <v>0</v>
      </c>
      <c r="AI179" s="1">
        <v>0</v>
      </c>
      <c r="AJ179" s="7" t="s">
        <v>19</v>
      </c>
      <c r="AK179" s="1">
        <v>1</v>
      </c>
      <c r="AL179" s="1" t="s">
        <v>25</v>
      </c>
      <c r="AM179" s="1">
        <v>1</v>
      </c>
      <c r="AN179" s="12">
        <v>64929</v>
      </c>
      <c r="AO179" s="12">
        <v>7</v>
      </c>
      <c r="AP179" s="12">
        <v>1</v>
      </c>
      <c r="AQ179" s="12">
        <v>6</v>
      </c>
      <c r="AR179" s="12" t="s">
        <v>48</v>
      </c>
      <c r="AS179" s="12">
        <v>0</v>
      </c>
      <c r="AT179" s="14">
        <v>0</v>
      </c>
    </row>
    <row r="180" spans="1:46" x14ac:dyDescent="0.3">
      <c r="A180" s="13">
        <v>179</v>
      </c>
      <c r="B180" s="7">
        <v>4</v>
      </c>
      <c r="C180" s="7" t="s">
        <v>14</v>
      </c>
      <c r="D180" s="7" t="s">
        <v>29</v>
      </c>
      <c r="E180" s="2" t="s">
        <v>110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1</v>
      </c>
      <c r="T180" s="8">
        <v>10.4</v>
      </c>
      <c r="U180" s="7">
        <v>87</v>
      </c>
      <c r="V180" s="9">
        <v>120</v>
      </c>
      <c r="W180" s="9">
        <v>28</v>
      </c>
      <c r="X180" s="35" t="s">
        <v>111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35">
        <v>1</v>
      </c>
      <c r="AF180" s="8">
        <v>7.9</v>
      </c>
      <c r="AG180" s="1" t="s">
        <v>24</v>
      </c>
      <c r="AH180" s="1">
        <v>0</v>
      </c>
      <c r="AI180" s="1">
        <v>0</v>
      </c>
      <c r="AJ180" s="7" t="s">
        <v>19</v>
      </c>
      <c r="AK180" s="1">
        <v>1</v>
      </c>
      <c r="AL180" s="1" t="s">
        <v>25</v>
      </c>
      <c r="AM180" s="1">
        <v>1</v>
      </c>
      <c r="AN180" s="12">
        <v>180728</v>
      </c>
      <c r="AO180" s="12">
        <v>19</v>
      </c>
      <c r="AP180" s="12">
        <v>5</v>
      </c>
      <c r="AQ180" s="12">
        <v>14</v>
      </c>
      <c r="AR180" s="12" t="s">
        <v>48</v>
      </c>
      <c r="AS180" s="12">
        <v>0</v>
      </c>
      <c r="AT180" s="14">
        <v>0</v>
      </c>
    </row>
    <row r="181" spans="1:46" x14ac:dyDescent="0.3">
      <c r="A181" s="13">
        <v>180</v>
      </c>
      <c r="B181" s="7">
        <v>45</v>
      </c>
      <c r="C181" s="7" t="s">
        <v>14</v>
      </c>
      <c r="D181" s="7" t="s">
        <v>15</v>
      </c>
      <c r="E181" s="2" t="s">
        <v>21</v>
      </c>
      <c r="F181" s="2">
        <v>0</v>
      </c>
      <c r="G181" s="2">
        <v>1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36">
        <v>0</v>
      </c>
      <c r="T181" s="8">
        <v>55</v>
      </c>
      <c r="U181" s="7">
        <v>156</v>
      </c>
      <c r="V181" s="9">
        <v>72</v>
      </c>
      <c r="W181" s="9">
        <v>20</v>
      </c>
      <c r="X181" s="1" t="s">
        <v>32</v>
      </c>
      <c r="Y181" s="1">
        <v>1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8">
        <v>14</v>
      </c>
      <c r="AG181" s="1" t="s">
        <v>24</v>
      </c>
      <c r="AH181" s="1">
        <v>0</v>
      </c>
      <c r="AI181" s="1">
        <v>0</v>
      </c>
      <c r="AJ181" s="7" t="s">
        <v>19</v>
      </c>
      <c r="AK181" s="1">
        <v>1</v>
      </c>
      <c r="AL181" s="1" t="s">
        <v>25</v>
      </c>
      <c r="AM181" s="1">
        <v>1</v>
      </c>
      <c r="AN181" s="12">
        <v>144134</v>
      </c>
      <c r="AO181" s="12">
        <v>10</v>
      </c>
      <c r="AP181" s="12">
        <v>1</v>
      </c>
      <c r="AQ181" s="12">
        <v>9</v>
      </c>
      <c r="AR181" s="12" t="s">
        <v>48</v>
      </c>
      <c r="AS181" s="12">
        <v>0</v>
      </c>
      <c r="AT181" s="14">
        <v>0</v>
      </c>
    </row>
    <row r="182" spans="1:46" x14ac:dyDescent="0.3">
      <c r="A182" s="13">
        <v>181</v>
      </c>
      <c r="B182" s="7">
        <v>13</v>
      </c>
      <c r="C182" s="7" t="s">
        <v>14</v>
      </c>
      <c r="D182" s="7" t="s">
        <v>29</v>
      </c>
      <c r="E182" s="2" t="s">
        <v>43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1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36">
        <v>0</v>
      </c>
      <c r="T182" s="8">
        <v>22</v>
      </c>
      <c r="U182" s="7">
        <v>139</v>
      </c>
      <c r="V182" s="9">
        <v>80</v>
      </c>
      <c r="W182" s="9">
        <v>18</v>
      </c>
      <c r="X182" s="35" t="s">
        <v>111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35">
        <v>1</v>
      </c>
      <c r="AF182" s="8">
        <v>11.7</v>
      </c>
      <c r="AG182" s="1" t="s">
        <v>24</v>
      </c>
      <c r="AH182" s="1">
        <v>0</v>
      </c>
      <c r="AI182" s="1">
        <v>0</v>
      </c>
      <c r="AJ182" s="7" t="s">
        <v>19</v>
      </c>
      <c r="AK182" s="1">
        <v>1</v>
      </c>
      <c r="AL182" s="1" t="s">
        <v>25</v>
      </c>
      <c r="AM182" s="1">
        <v>1</v>
      </c>
      <c r="AN182" s="12">
        <v>160250</v>
      </c>
      <c r="AO182" s="12">
        <v>12</v>
      </c>
      <c r="AP182" s="12">
        <v>3</v>
      </c>
      <c r="AQ182" s="12">
        <v>9</v>
      </c>
      <c r="AR182" s="12" t="s">
        <v>48</v>
      </c>
      <c r="AS182" s="12">
        <v>0</v>
      </c>
      <c r="AT182" s="14">
        <v>0</v>
      </c>
    </row>
    <row r="183" spans="1:46" x14ac:dyDescent="0.3">
      <c r="A183" s="13">
        <v>182</v>
      </c>
      <c r="B183" s="7">
        <v>38</v>
      </c>
      <c r="C183" s="7" t="s">
        <v>27</v>
      </c>
      <c r="D183" s="7" t="s">
        <v>15</v>
      </c>
      <c r="E183" s="2" t="s">
        <v>28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1</v>
      </c>
      <c r="S183" s="36">
        <v>0</v>
      </c>
      <c r="T183" s="8">
        <v>56</v>
      </c>
      <c r="U183" s="7">
        <v>150</v>
      </c>
      <c r="V183" s="9">
        <v>68</v>
      </c>
      <c r="W183" s="9">
        <v>24</v>
      </c>
      <c r="X183" s="35" t="s">
        <v>111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35">
        <v>1</v>
      </c>
      <c r="AF183" s="8">
        <v>11.6</v>
      </c>
      <c r="AG183" s="1" t="s">
        <v>24</v>
      </c>
      <c r="AH183" s="1">
        <v>0</v>
      </c>
      <c r="AI183" s="1">
        <v>0</v>
      </c>
      <c r="AJ183" s="7" t="s">
        <v>19</v>
      </c>
      <c r="AK183" s="1">
        <v>1</v>
      </c>
      <c r="AL183" s="1" t="s">
        <v>25</v>
      </c>
      <c r="AM183" s="1">
        <v>1</v>
      </c>
      <c r="AN183" s="12">
        <v>193543</v>
      </c>
      <c r="AO183" s="12">
        <v>9</v>
      </c>
      <c r="AP183" s="12">
        <v>3</v>
      </c>
      <c r="AQ183" s="12">
        <v>6</v>
      </c>
      <c r="AR183" s="12" t="s">
        <v>47</v>
      </c>
      <c r="AS183" s="12">
        <v>1</v>
      </c>
      <c r="AT183" s="14">
        <v>20900</v>
      </c>
    </row>
    <row r="184" spans="1:46" x14ac:dyDescent="0.3">
      <c r="A184" s="13">
        <v>183</v>
      </c>
      <c r="B184" s="30">
        <v>0.41666666666666669</v>
      </c>
      <c r="C184" s="7" t="s">
        <v>14</v>
      </c>
      <c r="D184" s="7" t="s">
        <v>29</v>
      </c>
      <c r="E184" s="2" t="s">
        <v>16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1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36">
        <v>0</v>
      </c>
      <c r="T184" s="8">
        <v>4.7</v>
      </c>
      <c r="U184" s="7">
        <v>66</v>
      </c>
      <c r="V184" s="9">
        <v>100</v>
      </c>
      <c r="W184" s="9">
        <v>24</v>
      </c>
      <c r="X184" s="35" t="s">
        <v>111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35">
        <v>1</v>
      </c>
      <c r="AF184" s="8">
        <v>20.399999999999999</v>
      </c>
      <c r="AG184" s="1" t="s">
        <v>24</v>
      </c>
      <c r="AH184" s="1">
        <v>0</v>
      </c>
      <c r="AI184" s="1">
        <v>0</v>
      </c>
      <c r="AJ184" s="7" t="s">
        <v>19</v>
      </c>
      <c r="AK184" s="1">
        <v>1</v>
      </c>
      <c r="AL184" s="1" t="s">
        <v>25</v>
      </c>
      <c r="AM184" s="1">
        <v>1</v>
      </c>
      <c r="AN184" s="12">
        <v>233376</v>
      </c>
      <c r="AO184" s="12">
        <v>17</v>
      </c>
      <c r="AP184" s="12">
        <v>3</v>
      </c>
      <c r="AQ184" s="12">
        <v>14</v>
      </c>
      <c r="AR184" s="12" t="s">
        <v>47</v>
      </c>
      <c r="AS184" s="12">
        <v>1</v>
      </c>
      <c r="AT184" s="14">
        <v>26000</v>
      </c>
    </row>
    <row r="185" spans="1:46" x14ac:dyDescent="0.3">
      <c r="A185" s="13">
        <v>184</v>
      </c>
      <c r="B185" s="7">
        <v>21</v>
      </c>
      <c r="C185" s="7" t="s">
        <v>27</v>
      </c>
      <c r="D185" s="7" t="s">
        <v>15</v>
      </c>
      <c r="E185" s="2" t="s">
        <v>28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1</v>
      </c>
      <c r="S185" s="36">
        <v>0</v>
      </c>
      <c r="T185" s="8">
        <v>36.700000000000003</v>
      </c>
      <c r="U185" s="7">
        <v>154</v>
      </c>
      <c r="V185" s="9">
        <v>76</v>
      </c>
      <c r="W185" s="9">
        <v>20</v>
      </c>
      <c r="X185" s="35" t="s">
        <v>111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35">
        <v>1</v>
      </c>
      <c r="AF185" s="8">
        <v>13.1</v>
      </c>
      <c r="AG185" s="1" t="s">
        <v>24</v>
      </c>
      <c r="AH185" s="1">
        <v>0</v>
      </c>
      <c r="AI185" s="1">
        <v>0</v>
      </c>
      <c r="AJ185" s="7" t="s">
        <v>19</v>
      </c>
      <c r="AK185" s="1">
        <v>1</v>
      </c>
      <c r="AL185" s="1" t="s">
        <v>25</v>
      </c>
      <c r="AM185" s="1">
        <v>1</v>
      </c>
      <c r="AN185" s="12">
        <v>166709</v>
      </c>
      <c r="AO185" s="12">
        <v>8</v>
      </c>
      <c r="AP185" s="12">
        <v>1</v>
      </c>
      <c r="AQ185" s="12">
        <v>7</v>
      </c>
      <c r="AR185" s="12" t="s">
        <v>47</v>
      </c>
      <c r="AS185" s="12">
        <v>1</v>
      </c>
      <c r="AT185" s="14">
        <v>20900</v>
      </c>
    </row>
    <row r="186" spans="1:46" x14ac:dyDescent="0.3">
      <c r="A186" s="13">
        <v>185</v>
      </c>
      <c r="B186" s="7">
        <v>13</v>
      </c>
      <c r="C186" s="7" t="s">
        <v>14</v>
      </c>
      <c r="D186" s="7" t="s">
        <v>29</v>
      </c>
      <c r="E186" s="2" t="s">
        <v>43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1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36">
        <v>0</v>
      </c>
      <c r="T186" s="8">
        <v>25.1</v>
      </c>
      <c r="U186" s="7">
        <v>130</v>
      </c>
      <c r="V186" s="9">
        <v>118</v>
      </c>
      <c r="W186" s="9">
        <v>22</v>
      </c>
      <c r="X186" s="35" t="s">
        <v>111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35">
        <v>1</v>
      </c>
      <c r="AF186" s="8">
        <v>13.8</v>
      </c>
      <c r="AG186" s="1" t="s">
        <v>24</v>
      </c>
      <c r="AH186" s="1">
        <v>0</v>
      </c>
      <c r="AI186" s="1">
        <v>0</v>
      </c>
      <c r="AJ186" s="7" t="s">
        <v>19</v>
      </c>
      <c r="AK186" s="1">
        <v>1</v>
      </c>
      <c r="AL186" s="1" t="s">
        <v>25</v>
      </c>
      <c r="AM186" s="1">
        <v>1</v>
      </c>
      <c r="AN186" s="12">
        <v>133873</v>
      </c>
      <c r="AO186" s="12">
        <v>11</v>
      </c>
      <c r="AP186" s="12">
        <v>1</v>
      </c>
      <c r="AQ186" s="12">
        <v>10</v>
      </c>
      <c r="AR186" s="12" t="s">
        <v>48</v>
      </c>
      <c r="AS186" s="12">
        <v>0</v>
      </c>
      <c r="AT186" s="14">
        <v>0</v>
      </c>
    </row>
    <row r="187" spans="1:46" x14ac:dyDescent="0.3">
      <c r="A187" s="13">
        <v>186</v>
      </c>
      <c r="B187" s="7">
        <v>11</v>
      </c>
      <c r="C187" s="7" t="s">
        <v>14</v>
      </c>
      <c r="D187" s="7" t="s">
        <v>29</v>
      </c>
      <c r="E187" s="2" t="s">
        <v>43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1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36">
        <v>0</v>
      </c>
      <c r="T187" s="8">
        <v>33.4</v>
      </c>
      <c r="U187" s="7">
        <v>165</v>
      </c>
      <c r="V187" s="9">
        <v>88</v>
      </c>
      <c r="W187" s="9">
        <v>24</v>
      </c>
      <c r="X187" s="35" t="s">
        <v>111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35">
        <v>1</v>
      </c>
      <c r="AF187" s="8">
        <v>11.8</v>
      </c>
      <c r="AG187" s="1" t="s">
        <v>24</v>
      </c>
      <c r="AH187" s="1">
        <v>0</v>
      </c>
      <c r="AI187" s="1">
        <v>0</v>
      </c>
      <c r="AJ187" s="7" t="s">
        <v>19</v>
      </c>
      <c r="AK187" s="1">
        <v>1</v>
      </c>
      <c r="AL187" s="1" t="s">
        <v>25</v>
      </c>
      <c r="AM187" s="1">
        <v>1</v>
      </c>
      <c r="AN187" s="12">
        <v>133087</v>
      </c>
      <c r="AO187" s="12">
        <v>8</v>
      </c>
      <c r="AP187" s="12">
        <v>3</v>
      </c>
      <c r="AQ187" s="12">
        <v>5</v>
      </c>
      <c r="AR187" s="12" t="s">
        <v>48</v>
      </c>
      <c r="AS187" s="12">
        <v>0</v>
      </c>
      <c r="AT187" s="14">
        <v>0</v>
      </c>
    </row>
    <row r="188" spans="1:46" x14ac:dyDescent="0.3">
      <c r="A188" s="13">
        <v>187</v>
      </c>
      <c r="B188" s="7">
        <v>57</v>
      </c>
      <c r="C188" s="7" t="s">
        <v>14</v>
      </c>
      <c r="D188" s="7" t="s">
        <v>15</v>
      </c>
      <c r="E188" s="2" t="s">
        <v>22</v>
      </c>
      <c r="F188" s="2">
        <v>0</v>
      </c>
      <c r="G188" s="2">
        <v>0</v>
      </c>
      <c r="H188" s="2">
        <v>0</v>
      </c>
      <c r="I188" s="2">
        <v>1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36">
        <v>0</v>
      </c>
      <c r="T188" s="8">
        <v>81.599999999999994</v>
      </c>
      <c r="U188" s="7">
        <v>165</v>
      </c>
      <c r="V188" s="9">
        <v>68</v>
      </c>
      <c r="W188" s="9">
        <v>20</v>
      </c>
      <c r="X188" s="1" t="s">
        <v>26</v>
      </c>
      <c r="Y188" s="1">
        <v>0</v>
      </c>
      <c r="Z188" s="1">
        <v>0</v>
      </c>
      <c r="AA188" s="1">
        <v>1</v>
      </c>
      <c r="AB188" s="1">
        <v>0</v>
      </c>
      <c r="AC188" s="1">
        <v>0</v>
      </c>
      <c r="AD188" s="1">
        <v>0</v>
      </c>
      <c r="AE188" s="1">
        <v>0</v>
      </c>
      <c r="AF188" s="8">
        <v>14.5</v>
      </c>
      <c r="AG188" s="1" t="s">
        <v>24</v>
      </c>
      <c r="AH188" s="1">
        <v>0</v>
      </c>
      <c r="AI188" s="1">
        <v>0</v>
      </c>
      <c r="AJ188" s="7" t="s">
        <v>19</v>
      </c>
      <c r="AK188" s="1">
        <v>1</v>
      </c>
      <c r="AL188" s="1" t="s">
        <v>25</v>
      </c>
      <c r="AM188" s="1">
        <v>1</v>
      </c>
      <c r="AN188" s="12">
        <v>178428</v>
      </c>
      <c r="AO188" s="12">
        <v>9</v>
      </c>
      <c r="AP188" s="12">
        <v>4</v>
      </c>
      <c r="AQ188" s="12">
        <v>5</v>
      </c>
      <c r="AR188" s="12" t="s">
        <v>48</v>
      </c>
      <c r="AS188" s="12">
        <v>0</v>
      </c>
      <c r="AT188" s="14">
        <v>0</v>
      </c>
    </row>
    <row r="189" spans="1:46" x14ac:dyDescent="0.3">
      <c r="A189" s="13">
        <v>188</v>
      </c>
      <c r="B189" s="7">
        <v>56</v>
      </c>
      <c r="C189" s="7" t="s">
        <v>14</v>
      </c>
      <c r="D189" s="7" t="s">
        <v>15</v>
      </c>
      <c r="E189" s="2" t="s">
        <v>22</v>
      </c>
      <c r="F189" s="2">
        <v>0</v>
      </c>
      <c r="G189" s="2">
        <v>0</v>
      </c>
      <c r="H189" s="2">
        <v>0</v>
      </c>
      <c r="I189" s="2">
        <v>1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36">
        <v>0</v>
      </c>
      <c r="T189" s="8">
        <v>85</v>
      </c>
      <c r="U189" s="7">
        <v>173</v>
      </c>
      <c r="V189" s="9">
        <v>100</v>
      </c>
      <c r="W189" s="9">
        <v>20</v>
      </c>
      <c r="X189" s="1" t="s">
        <v>23</v>
      </c>
      <c r="Y189" s="1">
        <v>0</v>
      </c>
      <c r="Z189" s="1">
        <v>1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8">
        <v>12.1</v>
      </c>
      <c r="AG189" s="1" t="s">
        <v>24</v>
      </c>
      <c r="AH189" s="1">
        <v>0</v>
      </c>
      <c r="AI189" s="1">
        <v>0</v>
      </c>
      <c r="AJ189" s="7" t="s">
        <v>19</v>
      </c>
      <c r="AK189" s="1">
        <v>1</v>
      </c>
      <c r="AL189" s="1" t="s">
        <v>25</v>
      </c>
      <c r="AM189" s="1">
        <v>1</v>
      </c>
      <c r="AN189" s="12">
        <v>191102</v>
      </c>
      <c r="AO189" s="12">
        <v>9</v>
      </c>
      <c r="AP189" s="12">
        <v>4</v>
      </c>
      <c r="AQ189" s="12">
        <v>5</v>
      </c>
      <c r="AR189" s="12" t="s">
        <v>48</v>
      </c>
      <c r="AS189" s="12">
        <v>0</v>
      </c>
      <c r="AT189" s="14">
        <v>0</v>
      </c>
    </row>
    <row r="190" spans="1:46" ht="26.4" x14ac:dyDescent="0.3">
      <c r="A190" s="13">
        <v>189</v>
      </c>
      <c r="B190" s="7">
        <v>3</v>
      </c>
      <c r="C190" s="7" t="s">
        <v>14</v>
      </c>
      <c r="D190" s="7" t="s">
        <v>29</v>
      </c>
      <c r="E190" s="2" t="s">
        <v>41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1</v>
      </c>
      <c r="Q190" s="2">
        <v>0</v>
      </c>
      <c r="R190" s="2">
        <v>0</v>
      </c>
      <c r="S190" s="36">
        <v>0</v>
      </c>
      <c r="T190" s="8">
        <v>12.5</v>
      </c>
      <c r="U190" s="7">
        <v>88</v>
      </c>
      <c r="V190" s="9">
        <v>110</v>
      </c>
      <c r="W190" s="9">
        <v>24</v>
      </c>
      <c r="X190" s="35" t="s">
        <v>111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35">
        <v>1</v>
      </c>
      <c r="AF190" s="8">
        <v>18.7</v>
      </c>
      <c r="AG190" s="1" t="s">
        <v>24</v>
      </c>
      <c r="AH190" s="1">
        <v>0</v>
      </c>
      <c r="AI190" s="1">
        <v>0</v>
      </c>
      <c r="AJ190" s="7" t="s">
        <v>19</v>
      </c>
      <c r="AK190" s="1">
        <v>1</v>
      </c>
      <c r="AL190" s="1" t="s">
        <v>25</v>
      </c>
      <c r="AM190" s="1">
        <v>1</v>
      </c>
      <c r="AN190" s="12">
        <v>168670</v>
      </c>
      <c r="AO190" s="12">
        <v>11</v>
      </c>
      <c r="AP190" s="12">
        <v>1</v>
      </c>
      <c r="AQ190" s="12">
        <v>10</v>
      </c>
      <c r="AR190" s="12" t="s">
        <v>48</v>
      </c>
      <c r="AS190" s="12">
        <v>0</v>
      </c>
      <c r="AT190" s="14">
        <v>0</v>
      </c>
    </row>
    <row r="191" spans="1:46" x14ac:dyDescent="0.3">
      <c r="A191" s="13">
        <v>190</v>
      </c>
      <c r="B191" s="7">
        <v>2</v>
      </c>
      <c r="C191" s="7" t="s">
        <v>14</v>
      </c>
      <c r="D191" s="7" t="s">
        <v>29</v>
      </c>
      <c r="E191" s="2" t="s">
        <v>43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1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36">
        <v>0</v>
      </c>
      <c r="T191" s="8">
        <v>11</v>
      </c>
      <c r="U191" s="7">
        <v>83</v>
      </c>
      <c r="V191" s="9">
        <v>96</v>
      </c>
      <c r="W191" s="9">
        <v>28</v>
      </c>
      <c r="X191" s="35" t="s">
        <v>111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35">
        <v>1</v>
      </c>
      <c r="AF191" s="8">
        <v>11.3</v>
      </c>
      <c r="AG191" s="1" t="s">
        <v>24</v>
      </c>
      <c r="AH191" s="1">
        <v>0</v>
      </c>
      <c r="AI191" s="1">
        <v>0</v>
      </c>
      <c r="AJ191" s="7" t="s">
        <v>19</v>
      </c>
      <c r="AK191" s="1">
        <v>1</v>
      </c>
      <c r="AL191" s="1" t="s">
        <v>25</v>
      </c>
      <c r="AM191" s="1">
        <v>1</v>
      </c>
      <c r="AN191" s="12">
        <v>163914</v>
      </c>
      <c r="AO191" s="12">
        <v>15</v>
      </c>
      <c r="AP191" s="12">
        <v>1</v>
      </c>
      <c r="AQ191" s="12">
        <v>14</v>
      </c>
      <c r="AR191" s="12" t="s">
        <v>48</v>
      </c>
      <c r="AS191" s="12">
        <v>0</v>
      </c>
      <c r="AT191" s="14">
        <v>0</v>
      </c>
    </row>
    <row r="192" spans="1:46" x14ac:dyDescent="0.3">
      <c r="A192" s="13">
        <v>191</v>
      </c>
      <c r="B192" s="7">
        <v>63</v>
      </c>
      <c r="C192" s="7" t="s">
        <v>14</v>
      </c>
      <c r="D192" s="7" t="s">
        <v>15</v>
      </c>
      <c r="E192" s="2" t="s">
        <v>16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1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36">
        <v>0</v>
      </c>
      <c r="T192" s="8">
        <v>62</v>
      </c>
      <c r="U192" s="7">
        <v>172</v>
      </c>
      <c r="V192" s="9">
        <v>98</v>
      </c>
      <c r="W192" s="9">
        <v>20</v>
      </c>
      <c r="X192" s="35" t="s">
        <v>111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35">
        <v>1</v>
      </c>
      <c r="AF192" s="8">
        <v>13.3</v>
      </c>
      <c r="AG192" s="1" t="s">
        <v>24</v>
      </c>
      <c r="AH192" s="1">
        <v>0</v>
      </c>
      <c r="AI192" s="1">
        <v>0</v>
      </c>
      <c r="AJ192" s="7" t="s">
        <v>19</v>
      </c>
      <c r="AK192" s="1">
        <v>1</v>
      </c>
      <c r="AL192" s="1" t="s">
        <v>25</v>
      </c>
      <c r="AM192" s="1">
        <v>1</v>
      </c>
      <c r="AN192" s="12">
        <v>241130</v>
      </c>
      <c r="AO192" s="12">
        <v>9</v>
      </c>
      <c r="AP192" s="12">
        <v>2</v>
      </c>
      <c r="AQ192" s="12">
        <v>7</v>
      </c>
      <c r="AR192" s="12" t="s">
        <v>47</v>
      </c>
      <c r="AS192" s="12">
        <v>1</v>
      </c>
      <c r="AT192" s="14">
        <v>51450</v>
      </c>
    </row>
    <row r="193" spans="1:46" x14ac:dyDescent="0.3">
      <c r="A193" s="13">
        <v>192</v>
      </c>
      <c r="B193" s="7">
        <v>68</v>
      </c>
      <c r="C193" s="7" t="s">
        <v>14</v>
      </c>
      <c r="D193" s="7" t="s">
        <v>15</v>
      </c>
      <c r="E193" s="2" t="s">
        <v>21</v>
      </c>
      <c r="F193" s="2">
        <v>0</v>
      </c>
      <c r="G193" s="2">
        <v>1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36">
        <v>0</v>
      </c>
      <c r="T193" s="8">
        <v>64.3</v>
      </c>
      <c r="U193" s="7">
        <v>154</v>
      </c>
      <c r="V193" s="9">
        <v>80</v>
      </c>
      <c r="W193" s="9">
        <v>20</v>
      </c>
      <c r="X193" s="35" t="s">
        <v>111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35">
        <v>1</v>
      </c>
      <c r="AF193" s="8">
        <v>14.4</v>
      </c>
      <c r="AG193" s="1" t="s">
        <v>24</v>
      </c>
      <c r="AH193" s="1">
        <v>0</v>
      </c>
      <c r="AI193" s="1">
        <v>0</v>
      </c>
      <c r="AJ193" s="7" t="s">
        <v>19</v>
      </c>
      <c r="AK193" s="1">
        <v>1</v>
      </c>
      <c r="AL193" s="1" t="s">
        <v>25</v>
      </c>
      <c r="AM193" s="1">
        <v>1</v>
      </c>
      <c r="AN193" s="12">
        <v>138535</v>
      </c>
      <c r="AO193" s="12">
        <v>9</v>
      </c>
      <c r="AP193" s="12">
        <v>1</v>
      </c>
      <c r="AQ193" s="12">
        <v>8</v>
      </c>
      <c r="AR193" s="12" t="s">
        <v>48</v>
      </c>
      <c r="AS193" s="12">
        <v>0</v>
      </c>
      <c r="AT193" s="14">
        <v>0</v>
      </c>
    </row>
    <row r="194" spans="1:46" x14ac:dyDescent="0.3">
      <c r="A194" s="13">
        <v>193</v>
      </c>
      <c r="B194" s="7">
        <v>16</v>
      </c>
      <c r="C194" s="7" t="s">
        <v>14</v>
      </c>
      <c r="D194" s="7" t="s">
        <v>29</v>
      </c>
      <c r="E194" s="2" t="s">
        <v>110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1</v>
      </c>
      <c r="T194" s="8">
        <v>42.5</v>
      </c>
      <c r="U194" s="7">
        <v>163</v>
      </c>
      <c r="V194" s="9">
        <v>84</v>
      </c>
      <c r="W194" s="9">
        <v>24</v>
      </c>
      <c r="X194" s="35" t="s">
        <v>111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35">
        <v>1</v>
      </c>
      <c r="AF194" s="8">
        <v>14.9</v>
      </c>
      <c r="AG194" s="7" t="s">
        <v>37</v>
      </c>
      <c r="AH194" s="1">
        <v>0</v>
      </c>
      <c r="AI194" s="7">
        <v>1</v>
      </c>
      <c r="AJ194" s="7" t="s">
        <v>19</v>
      </c>
      <c r="AK194" s="1">
        <v>1</v>
      </c>
      <c r="AL194" s="1" t="s">
        <v>25</v>
      </c>
      <c r="AM194" s="1">
        <v>1</v>
      </c>
      <c r="AN194" s="12">
        <v>119348</v>
      </c>
      <c r="AO194" s="12">
        <v>9</v>
      </c>
      <c r="AP194" s="12">
        <v>2</v>
      </c>
      <c r="AQ194" s="12">
        <v>7</v>
      </c>
      <c r="AR194" s="12" t="s">
        <v>48</v>
      </c>
      <c r="AS194" s="12">
        <v>0</v>
      </c>
      <c r="AT194" s="14">
        <v>0</v>
      </c>
    </row>
    <row r="195" spans="1:46" x14ac:dyDescent="0.3">
      <c r="A195" s="13">
        <v>194</v>
      </c>
      <c r="B195" s="7">
        <v>63</v>
      </c>
      <c r="C195" s="7" t="s">
        <v>14</v>
      </c>
      <c r="D195" s="7" t="s">
        <v>15</v>
      </c>
      <c r="E195" s="2" t="s">
        <v>22</v>
      </c>
      <c r="F195" s="2">
        <v>0</v>
      </c>
      <c r="G195" s="2">
        <v>0</v>
      </c>
      <c r="H195" s="2">
        <v>0</v>
      </c>
      <c r="I195" s="2">
        <v>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36">
        <v>0</v>
      </c>
      <c r="T195" s="8">
        <v>53.6</v>
      </c>
      <c r="U195" s="7">
        <v>157</v>
      </c>
      <c r="V195" s="9">
        <v>76</v>
      </c>
      <c r="W195" s="9">
        <v>15</v>
      </c>
      <c r="X195" s="1" t="s">
        <v>32</v>
      </c>
      <c r="Y195" s="1">
        <v>1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8">
        <v>11</v>
      </c>
      <c r="AG195" s="7" t="s">
        <v>18</v>
      </c>
      <c r="AH195" s="1">
        <v>1</v>
      </c>
      <c r="AI195" s="7">
        <v>0</v>
      </c>
      <c r="AJ195" s="7" t="s">
        <v>19</v>
      </c>
      <c r="AK195" s="1">
        <v>1</v>
      </c>
      <c r="AL195" s="7" t="s">
        <v>20</v>
      </c>
      <c r="AM195" s="1">
        <v>0</v>
      </c>
      <c r="AN195" s="12">
        <v>154354</v>
      </c>
      <c r="AO195" s="12">
        <v>11</v>
      </c>
      <c r="AP195" s="12">
        <v>1</v>
      </c>
      <c r="AQ195" s="12">
        <v>10</v>
      </c>
      <c r="AR195" s="12" t="s">
        <v>48</v>
      </c>
      <c r="AS195" s="12">
        <v>0</v>
      </c>
      <c r="AT195" s="14">
        <v>0</v>
      </c>
    </row>
    <row r="196" spans="1:46" x14ac:dyDescent="0.3">
      <c r="A196" s="13">
        <v>195</v>
      </c>
      <c r="B196" s="7">
        <v>3</v>
      </c>
      <c r="C196" s="7" t="s">
        <v>14</v>
      </c>
      <c r="D196" s="7" t="s">
        <v>29</v>
      </c>
      <c r="E196" s="2" t="s">
        <v>44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1</v>
      </c>
      <c r="R196" s="2">
        <v>0</v>
      </c>
      <c r="S196" s="36">
        <v>0</v>
      </c>
      <c r="T196" s="8">
        <v>13.1</v>
      </c>
      <c r="U196" s="7">
        <v>53</v>
      </c>
      <c r="V196" s="9">
        <v>88</v>
      </c>
      <c r="W196" s="9">
        <v>18</v>
      </c>
      <c r="X196" s="35" t="s">
        <v>111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35">
        <v>1</v>
      </c>
      <c r="AF196" s="8">
        <v>11.3</v>
      </c>
      <c r="AG196" s="1" t="s">
        <v>24</v>
      </c>
      <c r="AH196" s="1">
        <v>0</v>
      </c>
      <c r="AI196" s="1">
        <v>0</v>
      </c>
      <c r="AJ196" s="7" t="s">
        <v>19</v>
      </c>
      <c r="AK196" s="1">
        <v>1</v>
      </c>
      <c r="AL196" s="1" t="s">
        <v>25</v>
      </c>
      <c r="AM196" s="1">
        <v>1</v>
      </c>
      <c r="AN196" s="12">
        <v>119877</v>
      </c>
      <c r="AO196" s="12">
        <v>7</v>
      </c>
      <c r="AP196" s="12">
        <v>1</v>
      </c>
      <c r="AQ196" s="12">
        <v>6</v>
      </c>
      <c r="AR196" s="12" t="s">
        <v>48</v>
      </c>
      <c r="AS196" s="12">
        <v>0</v>
      </c>
      <c r="AT196" s="14">
        <v>0</v>
      </c>
    </row>
    <row r="197" spans="1:46" x14ac:dyDescent="0.3">
      <c r="A197" s="13">
        <v>196</v>
      </c>
      <c r="B197" s="7">
        <v>1</v>
      </c>
      <c r="C197" s="7" t="s">
        <v>27</v>
      </c>
      <c r="D197" s="7" t="s">
        <v>29</v>
      </c>
      <c r="E197" s="2" t="s">
        <v>16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1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36">
        <v>0</v>
      </c>
      <c r="T197" s="8">
        <v>8.6</v>
      </c>
      <c r="U197" s="7">
        <v>80</v>
      </c>
      <c r="V197" s="9">
        <v>100</v>
      </c>
      <c r="W197" s="9">
        <v>18</v>
      </c>
      <c r="X197" s="35" t="s">
        <v>111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35">
        <v>1</v>
      </c>
      <c r="AF197" s="8">
        <v>13</v>
      </c>
      <c r="AG197" s="1" t="s">
        <v>24</v>
      </c>
      <c r="AH197" s="1">
        <v>0</v>
      </c>
      <c r="AI197" s="1">
        <v>0</v>
      </c>
      <c r="AJ197" s="7" t="s">
        <v>19</v>
      </c>
      <c r="AK197" s="1">
        <v>1</v>
      </c>
      <c r="AL197" s="1" t="s">
        <v>25</v>
      </c>
      <c r="AM197" s="1">
        <v>1</v>
      </c>
      <c r="AN197" s="12">
        <v>135019</v>
      </c>
      <c r="AO197" s="12">
        <v>7</v>
      </c>
      <c r="AP197" s="12">
        <v>1</v>
      </c>
      <c r="AQ197" s="12">
        <v>6</v>
      </c>
      <c r="AR197" s="12" t="s">
        <v>48</v>
      </c>
      <c r="AS197" s="12">
        <v>0</v>
      </c>
      <c r="AT197" s="14">
        <v>0</v>
      </c>
    </row>
    <row r="198" spans="1:46" x14ac:dyDescent="0.3">
      <c r="A198" s="13">
        <v>197</v>
      </c>
      <c r="B198" s="7">
        <v>1</v>
      </c>
      <c r="C198" s="7" t="s">
        <v>27</v>
      </c>
      <c r="D198" s="7" t="s">
        <v>29</v>
      </c>
      <c r="E198" s="2" t="s">
        <v>42</v>
      </c>
      <c r="F198" s="2">
        <v>1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36">
        <v>0</v>
      </c>
      <c r="T198" s="8">
        <v>6</v>
      </c>
      <c r="U198" s="7">
        <v>72</v>
      </c>
      <c r="V198" s="9">
        <v>92</v>
      </c>
      <c r="W198" s="9">
        <v>24</v>
      </c>
      <c r="X198" s="1" t="s">
        <v>40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1</v>
      </c>
      <c r="AE198" s="1">
        <v>0</v>
      </c>
      <c r="AF198" s="8">
        <v>13</v>
      </c>
      <c r="AG198" s="1" t="s">
        <v>24</v>
      </c>
      <c r="AH198" s="1">
        <v>0</v>
      </c>
      <c r="AI198" s="1">
        <v>0</v>
      </c>
      <c r="AJ198" s="7" t="s">
        <v>19</v>
      </c>
      <c r="AK198" s="1">
        <v>1</v>
      </c>
      <c r="AL198" s="1" t="s">
        <v>25</v>
      </c>
      <c r="AM198" s="1">
        <v>1</v>
      </c>
      <c r="AN198" s="12">
        <v>176383</v>
      </c>
      <c r="AO198" s="12">
        <v>16</v>
      </c>
      <c r="AP198" s="12">
        <v>2</v>
      </c>
      <c r="AQ198" s="12">
        <v>14</v>
      </c>
      <c r="AR198" s="12" t="s">
        <v>48</v>
      </c>
      <c r="AS198" s="12">
        <v>0</v>
      </c>
      <c r="AT198" s="14">
        <v>0</v>
      </c>
    </row>
    <row r="199" spans="1:46" x14ac:dyDescent="0.3">
      <c r="A199" s="13">
        <v>198</v>
      </c>
      <c r="B199" s="7">
        <v>2</v>
      </c>
      <c r="C199" s="7" t="s">
        <v>27</v>
      </c>
      <c r="D199" s="7" t="s">
        <v>29</v>
      </c>
      <c r="E199" s="2" t="s">
        <v>16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1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36">
        <v>0</v>
      </c>
      <c r="T199" s="8">
        <v>11</v>
      </c>
      <c r="U199" s="7">
        <v>78</v>
      </c>
      <c r="V199" s="9">
        <v>126</v>
      </c>
      <c r="W199" s="9">
        <v>24</v>
      </c>
      <c r="X199" s="35" t="s">
        <v>111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35">
        <v>1</v>
      </c>
      <c r="AF199" s="8">
        <v>13.5</v>
      </c>
      <c r="AG199" s="1" t="s">
        <v>24</v>
      </c>
      <c r="AH199" s="1">
        <v>0</v>
      </c>
      <c r="AI199" s="1">
        <v>0</v>
      </c>
      <c r="AJ199" s="7" t="s">
        <v>19</v>
      </c>
      <c r="AK199" s="1">
        <v>1</v>
      </c>
      <c r="AL199" s="1" t="s">
        <v>25</v>
      </c>
      <c r="AM199" s="1">
        <v>1</v>
      </c>
      <c r="AN199" s="12">
        <v>233522</v>
      </c>
      <c r="AO199" s="12">
        <v>15</v>
      </c>
      <c r="AP199" s="12">
        <v>5</v>
      </c>
      <c r="AQ199" s="12">
        <v>10</v>
      </c>
      <c r="AR199" s="12" t="s">
        <v>48</v>
      </c>
      <c r="AS199" s="12">
        <v>0</v>
      </c>
      <c r="AT199" s="14">
        <v>0</v>
      </c>
    </row>
    <row r="200" spans="1:46" x14ac:dyDescent="0.3">
      <c r="A200" s="13">
        <v>199</v>
      </c>
      <c r="B200" s="7">
        <v>7</v>
      </c>
      <c r="C200" s="7" t="s">
        <v>14</v>
      </c>
      <c r="D200" s="7" t="s">
        <v>29</v>
      </c>
      <c r="E200" s="2" t="s">
        <v>44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1</v>
      </c>
      <c r="R200" s="2">
        <v>0</v>
      </c>
      <c r="S200" s="36">
        <v>0</v>
      </c>
      <c r="T200" s="8">
        <v>16</v>
      </c>
      <c r="U200" s="7">
        <v>110</v>
      </c>
      <c r="V200" s="9">
        <v>126</v>
      </c>
      <c r="W200" s="9">
        <v>26</v>
      </c>
      <c r="X200" s="35" t="s">
        <v>111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35">
        <v>1</v>
      </c>
      <c r="AF200" s="8">
        <v>11.5</v>
      </c>
      <c r="AG200" s="1" t="s">
        <v>24</v>
      </c>
      <c r="AH200" s="1">
        <v>0</v>
      </c>
      <c r="AI200" s="1">
        <v>0</v>
      </c>
      <c r="AJ200" s="7" t="s">
        <v>19</v>
      </c>
      <c r="AK200" s="1">
        <v>1</v>
      </c>
      <c r="AL200" s="1" t="s">
        <v>25</v>
      </c>
      <c r="AM200" s="1">
        <v>1</v>
      </c>
      <c r="AN200" s="12">
        <v>132585</v>
      </c>
      <c r="AO200" s="12">
        <v>8</v>
      </c>
      <c r="AP200" s="12">
        <v>3</v>
      </c>
      <c r="AQ200" s="12">
        <v>5</v>
      </c>
      <c r="AR200" s="12" t="s">
        <v>48</v>
      </c>
      <c r="AS200" s="12">
        <v>0</v>
      </c>
      <c r="AT200" s="14">
        <v>0</v>
      </c>
    </row>
    <row r="201" spans="1:46" ht="26.4" x14ac:dyDescent="0.3">
      <c r="A201" s="13">
        <v>200</v>
      </c>
      <c r="B201" s="7">
        <v>1</v>
      </c>
      <c r="C201" s="7" t="s">
        <v>14</v>
      </c>
      <c r="D201" s="7" t="s">
        <v>29</v>
      </c>
      <c r="E201" s="2" t="s">
        <v>41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1</v>
      </c>
      <c r="Q201" s="2">
        <v>0</v>
      </c>
      <c r="R201" s="2">
        <v>0</v>
      </c>
      <c r="S201" s="36">
        <v>0</v>
      </c>
      <c r="T201" s="8">
        <v>9</v>
      </c>
      <c r="U201" s="7">
        <v>29</v>
      </c>
      <c r="V201" s="9">
        <v>103</v>
      </c>
      <c r="W201" s="9">
        <v>26</v>
      </c>
      <c r="X201" s="35" t="s">
        <v>111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35">
        <v>1</v>
      </c>
      <c r="AF201" s="8">
        <v>23.3</v>
      </c>
      <c r="AG201" s="1" t="s">
        <v>24</v>
      </c>
      <c r="AH201" s="1">
        <v>0</v>
      </c>
      <c r="AI201" s="1">
        <v>0</v>
      </c>
      <c r="AJ201" s="7" t="s">
        <v>19</v>
      </c>
      <c r="AK201" s="1">
        <v>1</v>
      </c>
      <c r="AL201" s="1" t="s">
        <v>25</v>
      </c>
      <c r="AM201" s="1">
        <v>1</v>
      </c>
      <c r="AN201" s="12">
        <v>170654</v>
      </c>
      <c r="AO201" s="12">
        <v>13</v>
      </c>
      <c r="AP201" s="12">
        <v>2</v>
      </c>
      <c r="AQ201" s="12">
        <v>11</v>
      </c>
      <c r="AR201" s="12" t="s">
        <v>48</v>
      </c>
      <c r="AS201" s="12">
        <v>0</v>
      </c>
      <c r="AT201" s="14">
        <v>0</v>
      </c>
    </row>
    <row r="202" spans="1:46" x14ac:dyDescent="0.3">
      <c r="A202" s="13">
        <v>201</v>
      </c>
      <c r="B202" s="7">
        <v>9</v>
      </c>
      <c r="C202" s="7" t="s">
        <v>14</v>
      </c>
      <c r="D202" s="7" t="s">
        <v>29</v>
      </c>
      <c r="E202" s="2" t="s">
        <v>42</v>
      </c>
      <c r="F202" s="2">
        <v>1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36">
        <v>0</v>
      </c>
      <c r="T202" s="8">
        <v>20.6</v>
      </c>
      <c r="U202" s="7">
        <v>128</v>
      </c>
      <c r="V202" s="9">
        <v>75</v>
      </c>
      <c r="W202" s="9">
        <v>22</v>
      </c>
      <c r="X202" s="35" t="s">
        <v>111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35">
        <v>1</v>
      </c>
      <c r="AF202" s="8">
        <v>11.4</v>
      </c>
      <c r="AG202" s="1" t="s">
        <v>24</v>
      </c>
      <c r="AH202" s="1">
        <v>0</v>
      </c>
      <c r="AI202" s="1">
        <v>0</v>
      </c>
      <c r="AJ202" s="7" t="s">
        <v>19</v>
      </c>
      <c r="AK202" s="1">
        <v>1</v>
      </c>
      <c r="AL202" s="1" t="s">
        <v>25</v>
      </c>
      <c r="AM202" s="1">
        <v>1</v>
      </c>
      <c r="AN202" s="12">
        <v>119776</v>
      </c>
      <c r="AO202" s="12">
        <v>7</v>
      </c>
      <c r="AP202" s="12">
        <v>2</v>
      </c>
      <c r="AQ202" s="12">
        <v>5</v>
      </c>
      <c r="AR202" s="12" t="s">
        <v>48</v>
      </c>
      <c r="AS202" s="12">
        <v>0</v>
      </c>
      <c r="AT202" s="14">
        <v>0</v>
      </c>
    </row>
    <row r="203" spans="1:46" x14ac:dyDescent="0.3">
      <c r="A203" s="13">
        <v>202</v>
      </c>
      <c r="B203" s="7">
        <v>6</v>
      </c>
      <c r="C203" s="7" t="s">
        <v>27</v>
      </c>
      <c r="D203" s="7" t="s">
        <v>29</v>
      </c>
      <c r="E203" s="2" t="s">
        <v>42</v>
      </c>
      <c r="F203" s="2">
        <v>1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36">
        <v>0</v>
      </c>
      <c r="T203" s="8">
        <v>22</v>
      </c>
      <c r="U203" s="7">
        <v>121</v>
      </c>
      <c r="V203" s="9">
        <v>96</v>
      </c>
      <c r="W203" s="9">
        <v>20</v>
      </c>
      <c r="X203" s="35" t="s">
        <v>111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35">
        <v>1</v>
      </c>
      <c r="AF203" s="8">
        <v>13.2</v>
      </c>
      <c r="AG203" s="1" t="s">
        <v>24</v>
      </c>
      <c r="AH203" s="1">
        <v>0</v>
      </c>
      <c r="AI203" s="1">
        <v>0</v>
      </c>
      <c r="AJ203" s="7" t="s">
        <v>19</v>
      </c>
      <c r="AK203" s="1">
        <v>1</v>
      </c>
      <c r="AL203" s="1" t="s">
        <v>25</v>
      </c>
      <c r="AM203" s="1">
        <v>1</v>
      </c>
      <c r="AN203" s="12">
        <v>109117</v>
      </c>
      <c r="AO203" s="12">
        <v>9</v>
      </c>
      <c r="AP203" s="12">
        <v>1</v>
      </c>
      <c r="AQ203" s="12">
        <v>8</v>
      </c>
      <c r="AR203" s="12" t="s">
        <v>48</v>
      </c>
      <c r="AS203" s="12">
        <v>0</v>
      </c>
      <c r="AT203" s="14">
        <v>0</v>
      </c>
    </row>
    <row r="204" spans="1:46" x14ac:dyDescent="0.3">
      <c r="A204" s="13">
        <v>203</v>
      </c>
      <c r="B204" s="7">
        <v>7</v>
      </c>
      <c r="C204" s="7" t="s">
        <v>14</v>
      </c>
      <c r="D204" s="7" t="s">
        <v>29</v>
      </c>
      <c r="E204" s="2" t="s">
        <v>16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1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36">
        <v>0</v>
      </c>
      <c r="T204" s="8">
        <v>24</v>
      </c>
      <c r="U204" s="7">
        <v>129</v>
      </c>
      <c r="V204" s="9">
        <v>104</v>
      </c>
      <c r="W204" s="9">
        <v>24</v>
      </c>
      <c r="X204" s="35" t="s">
        <v>111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35">
        <v>1</v>
      </c>
      <c r="AF204" s="8">
        <v>12</v>
      </c>
      <c r="AG204" s="1" t="s">
        <v>24</v>
      </c>
      <c r="AH204" s="1">
        <v>0</v>
      </c>
      <c r="AI204" s="1">
        <v>0</v>
      </c>
      <c r="AJ204" s="7" t="s">
        <v>19</v>
      </c>
      <c r="AK204" s="1">
        <v>1</v>
      </c>
      <c r="AL204" s="1" t="s">
        <v>25</v>
      </c>
      <c r="AM204" s="1">
        <v>1</v>
      </c>
      <c r="AN204" s="12">
        <v>174074</v>
      </c>
      <c r="AO204" s="12">
        <v>9</v>
      </c>
      <c r="AP204" s="12">
        <v>2</v>
      </c>
      <c r="AQ204" s="12">
        <v>7</v>
      </c>
      <c r="AR204" s="12" t="s">
        <v>48</v>
      </c>
      <c r="AS204" s="12">
        <v>0</v>
      </c>
      <c r="AT204" s="14">
        <v>0</v>
      </c>
    </row>
    <row r="205" spans="1:46" x14ac:dyDescent="0.3">
      <c r="A205" s="13">
        <v>204</v>
      </c>
      <c r="B205" s="7">
        <v>10</v>
      </c>
      <c r="C205" s="7" t="s">
        <v>14</v>
      </c>
      <c r="D205" s="7" t="s">
        <v>29</v>
      </c>
      <c r="E205" s="2" t="s">
        <v>44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1</v>
      </c>
      <c r="R205" s="2">
        <v>0</v>
      </c>
      <c r="S205" s="36">
        <v>0</v>
      </c>
      <c r="T205" s="8">
        <v>6</v>
      </c>
      <c r="U205" s="7">
        <v>26</v>
      </c>
      <c r="V205" s="9">
        <v>120</v>
      </c>
      <c r="W205" s="9">
        <v>26</v>
      </c>
      <c r="X205" s="35" t="s">
        <v>111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35">
        <v>1</v>
      </c>
      <c r="AF205" s="8">
        <v>12.5</v>
      </c>
      <c r="AG205" s="1" t="s">
        <v>24</v>
      </c>
      <c r="AH205" s="1">
        <v>0</v>
      </c>
      <c r="AI205" s="1">
        <v>0</v>
      </c>
      <c r="AJ205" s="7" t="s">
        <v>19</v>
      </c>
      <c r="AK205" s="1">
        <v>1</v>
      </c>
      <c r="AL205" s="1" t="s">
        <v>25</v>
      </c>
      <c r="AM205" s="1">
        <v>1</v>
      </c>
      <c r="AN205" s="12">
        <v>169641</v>
      </c>
      <c r="AO205" s="12">
        <v>10</v>
      </c>
      <c r="AP205" s="12">
        <v>3</v>
      </c>
      <c r="AQ205" s="12">
        <v>7</v>
      </c>
      <c r="AR205" s="12" t="s">
        <v>48</v>
      </c>
      <c r="AS205" s="12">
        <v>0</v>
      </c>
      <c r="AT205" s="14">
        <v>0</v>
      </c>
    </row>
    <row r="206" spans="1:46" x14ac:dyDescent="0.3">
      <c r="A206" s="13">
        <v>205</v>
      </c>
      <c r="B206" s="7">
        <v>12</v>
      </c>
      <c r="C206" s="7" t="s">
        <v>27</v>
      </c>
      <c r="D206" s="7" t="s">
        <v>29</v>
      </c>
      <c r="E206" s="2" t="s">
        <v>16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1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36">
        <v>0</v>
      </c>
      <c r="T206" s="8">
        <v>26</v>
      </c>
      <c r="U206" s="7">
        <v>55</v>
      </c>
      <c r="V206" s="9">
        <v>58</v>
      </c>
      <c r="W206" s="9">
        <v>26</v>
      </c>
      <c r="X206" s="1" t="s">
        <v>40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1</v>
      </c>
      <c r="AE206" s="1">
        <v>0</v>
      </c>
      <c r="AF206" s="8">
        <v>14.6</v>
      </c>
      <c r="AG206" s="1" t="s">
        <v>24</v>
      </c>
      <c r="AH206" s="1">
        <v>0</v>
      </c>
      <c r="AI206" s="1">
        <v>0</v>
      </c>
      <c r="AJ206" s="7" t="s">
        <v>19</v>
      </c>
      <c r="AK206" s="1">
        <v>1</v>
      </c>
      <c r="AL206" s="1" t="s">
        <v>25</v>
      </c>
      <c r="AM206" s="1">
        <v>1</v>
      </c>
      <c r="AN206" s="12">
        <v>58943</v>
      </c>
      <c r="AO206" s="12">
        <v>5</v>
      </c>
      <c r="AP206" s="12">
        <v>3</v>
      </c>
      <c r="AQ206" s="12">
        <v>2</v>
      </c>
      <c r="AR206" s="12" t="s">
        <v>48</v>
      </c>
      <c r="AS206" s="12">
        <v>0</v>
      </c>
      <c r="AT206" s="14">
        <v>0</v>
      </c>
    </row>
    <row r="207" spans="1:46" x14ac:dyDescent="0.3">
      <c r="A207" s="13">
        <v>206</v>
      </c>
      <c r="B207" s="7">
        <v>1</v>
      </c>
      <c r="C207" s="7" t="s">
        <v>14</v>
      </c>
      <c r="D207" s="7" t="s">
        <v>29</v>
      </c>
      <c r="E207" s="2" t="s">
        <v>16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1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36">
        <v>0</v>
      </c>
      <c r="T207" s="8">
        <v>9</v>
      </c>
      <c r="U207" s="7">
        <v>80</v>
      </c>
      <c r="V207" s="9">
        <v>100</v>
      </c>
      <c r="W207" s="9">
        <v>30</v>
      </c>
      <c r="X207" s="35" t="s">
        <v>111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35">
        <v>1</v>
      </c>
      <c r="AF207" s="8">
        <v>11.4</v>
      </c>
      <c r="AG207" s="1" t="s">
        <v>24</v>
      </c>
      <c r="AH207" s="1">
        <v>0</v>
      </c>
      <c r="AI207" s="1">
        <v>0</v>
      </c>
      <c r="AJ207" s="7" t="s">
        <v>19</v>
      </c>
      <c r="AK207" s="1">
        <v>1</v>
      </c>
      <c r="AL207" s="1" t="s">
        <v>25</v>
      </c>
      <c r="AM207" s="1">
        <v>1</v>
      </c>
      <c r="AN207" s="12">
        <v>136040</v>
      </c>
      <c r="AO207" s="12">
        <v>8</v>
      </c>
      <c r="AP207" s="12">
        <v>1</v>
      </c>
      <c r="AQ207" s="12">
        <v>7</v>
      </c>
      <c r="AR207" s="12" t="s">
        <v>48</v>
      </c>
      <c r="AS207" s="12">
        <v>0</v>
      </c>
      <c r="AT207" s="14">
        <v>0</v>
      </c>
    </row>
    <row r="208" spans="1:46" x14ac:dyDescent="0.3">
      <c r="A208" s="13">
        <v>207</v>
      </c>
      <c r="B208" s="7">
        <v>1</v>
      </c>
      <c r="C208" s="7" t="s">
        <v>27</v>
      </c>
      <c r="D208" s="7" t="s">
        <v>29</v>
      </c>
      <c r="E208" s="2" t="s">
        <v>38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1</v>
      </c>
      <c r="P208" s="2">
        <v>0</v>
      </c>
      <c r="Q208" s="2">
        <v>0</v>
      </c>
      <c r="R208" s="2">
        <v>0</v>
      </c>
      <c r="S208" s="36">
        <v>0</v>
      </c>
      <c r="T208" s="8">
        <v>8.3000000000000007</v>
      </c>
      <c r="U208" s="7">
        <v>74</v>
      </c>
      <c r="V208" s="9">
        <v>100</v>
      </c>
      <c r="W208" s="9">
        <v>24</v>
      </c>
      <c r="X208" s="35" t="s">
        <v>111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35">
        <v>1</v>
      </c>
      <c r="AF208" s="8">
        <v>12.3</v>
      </c>
      <c r="AG208" s="1" t="s">
        <v>24</v>
      </c>
      <c r="AH208" s="1">
        <v>0</v>
      </c>
      <c r="AI208" s="1">
        <v>0</v>
      </c>
      <c r="AJ208" s="7" t="s">
        <v>19</v>
      </c>
      <c r="AK208" s="1">
        <v>1</v>
      </c>
      <c r="AL208" s="1" t="s">
        <v>25</v>
      </c>
      <c r="AM208" s="1">
        <v>1</v>
      </c>
      <c r="AN208" s="12">
        <v>78215</v>
      </c>
      <c r="AO208" s="12">
        <v>7</v>
      </c>
      <c r="AP208" s="12">
        <v>2</v>
      </c>
      <c r="AQ208" s="12">
        <v>5</v>
      </c>
      <c r="AR208" s="12" t="s">
        <v>48</v>
      </c>
      <c r="AS208" s="12">
        <v>0</v>
      </c>
      <c r="AT208" s="14">
        <v>0</v>
      </c>
    </row>
    <row r="209" spans="1:46" x14ac:dyDescent="0.3">
      <c r="A209" s="13">
        <v>208</v>
      </c>
      <c r="B209" s="7">
        <v>4</v>
      </c>
      <c r="C209" s="7" t="s">
        <v>14</v>
      </c>
      <c r="D209" s="7" t="s">
        <v>29</v>
      </c>
      <c r="E209" s="2" t="s">
        <v>16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1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36">
        <v>0</v>
      </c>
      <c r="T209" s="8">
        <v>15</v>
      </c>
      <c r="U209" s="7">
        <v>105</v>
      </c>
      <c r="V209" s="9">
        <v>100</v>
      </c>
      <c r="W209" s="9">
        <v>24</v>
      </c>
      <c r="X209" s="35" t="s">
        <v>111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35">
        <v>1</v>
      </c>
      <c r="AF209" s="8">
        <v>13</v>
      </c>
      <c r="AG209" s="1" t="s">
        <v>24</v>
      </c>
      <c r="AH209" s="1">
        <v>0</v>
      </c>
      <c r="AI209" s="1">
        <v>0</v>
      </c>
      <c r="AJ209" s="7" t="s">
        <v>19</v>
      </c>
      <c r="AK209" s="1">
        <v>1</v>
      </c>
      <c r="AL209" s="1" t="s">
        <v>25</v>
      </c>
      <c r="AM209" s="1">
        <v>1</v>
      </c>
      <c r="AN209" s="12">
        <v>73218</v>
      </c>
      <c r="AO209" s="12">
        <v>7</v>
      </c>
      <c r="AP209" s="12">
        <v>2</v>
      </c>
      <c r="AQ209" s="12">
        <v>5</v>
      </c>
      <c r="AR209" s="12" t="s">
        <v>48</v>
      </c>
      <c r="AS209" s="12">
        <v>0</v>
      </c>
      <c r="AT209" s="14">
        <v>0</v>
      </c>
    </row>
    <row r="210" spans="1:46" x14ac:dyDescent="0.3">
      <c r="A210" s="13">
        <v>209</v>
      </c>
      <c r="B210" s="7">
        <v>4</v>
      </c>
      <c r="C210" s="7" t="s">
        <v>14</v>
      </c>
      <c r="D210" s="7" t="s">
        <v>29</v>
      </c>
      <c r="E210" s="2" t="s">
        <v>42</v>
      </c>
      <c r="F210" s="2">
        <v>1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36">
        <v>0</v>
      </c>
      <c r="T210" s="8">
        <v>14.2</v>
      </c>
      <c r="U210" s="7">
        <v>98</v>
      </c>
      <c r="V210" s="9">
        <v>93</v>
      </c>
      <c r="W210" s="9">
        <v>28</v>
      </c>
      <c r="X210" s="35" t="s">
        <v>111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35">
        <v>1</v>
      </c>
      <c r="AF210" s="8">
        <v>13.1</v>
      </c>
      <c r="AG210" s="1" t="s">
        <v>24</v>
      </c>
      <c r="AH210" s="1">
        <v>0</v>
      </c>
      <c r="AI210" s="1">
        <v>0</v>
      </c>
      <c r="AJ210" s="7" t="s">
        <v>19</v>
      </c>
      <c r="AK210" s="1">
        <v>1</v>
      </c>
      <c r="AL210" s="1" t="s">
        <v>25</v>
      </c>
      <c r="AM210" s="1">
        <v>1</v>
      </c>
      <c r="AN210" s="12">
        <v>51009</v>
      </c>
      <c r="AO210" s="12">
        <v>6</v>
      </c>
      <c r="AP210" s="12">
        <v>1</v>
      </c>
      <c r="AQ210" s="12">
        <v>5</v>
      </c>
      <c r="AR210" s="12" t="s">
        <v>48</v>
      </c>
      <c r="AS210" s="12">
        <v>0</v>
      </c>
      <c r="AT210" s="14">
        <v>0</v>
      </c>
    </row>
    <row r="211" spans="1:46" x14ac:dyDescent="0.3">
      <c r="A211" s="13">
        <v>210</v>
      </c>
      <c r="B211" s="7">
        <v>61</v>
      </c>
      <c r="C211" s="7" t="s">
        <v>14</v>
      </c>
      <c r="D211" s="7" t="s">
        <v>15</v>
      </c>
      <c r="E211" s="2" t="s">
        <v>28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1</v>
      </c>
      <c r="S211" s="36">
        <v>0</v>
      </c>
      <c r="T211" s="8">
        <v>49</v>
      </c>
      <c r="U211" s="7">
        <v>160</v>
      </c>
      <c r="V211" s="9">
        <v>76</v>
      </c>
      <c r="W211" s="9">
        <v>24</v>
      </c>
      <c r="X211" s="1" t="s">
        <v>26</v>
      </c>
      <c r="Y211" s="1">
        <v>0</v>
      </c>
      <c r="Z211" s="1">
        <v>0</v>
      </c>
      <c r="AA211" s="1">
        <v>1</v>
      </c>
      <c r="AB211" s="1">
        <v>0</v>
      </c>
      <c r="AC211" s="1">
        <v>0</v>
      </c>
      <c r="AD211" s="1">
        <v>0</v>
      </c>
      <c r="AE211" s="1">
        <v>0</v>
      </c>
      <c r="AF211" s="8">
        <v>13.5</v>
      </c>
      <c r="AG211" s="1" t="s">
        <v>24</v>
      </c>
      <c r="AH211" s="1">
        <v>0</v>
      </c>
      <c r="AI211" s="1">
        <v>0</v>
      </c>
      <c r="AJ211" s="7" t="s">
        <v>19</v>
      </c>
      <c r="AK211" s="1">
        <v>1</v>
      </c>
      <c r="AL211" s="1" t="s">
        <v>25</v>
      </c>
      <c r="AM211" s="1">
        <v>1</v>
      </c>
      <c r="AN211" s="12">
        <v>210622</v>
      </c>
      <c r="AO211" s="12">
        <v>10</v>
      </c>
      <c r="AP211" s="12">
        <v>1</v>
      </c>
      <c r="AQ211" s="12">
        <v>9</v>
      </c>
      <c r="AR211" s="12" t="s">
        <v>47</v>
      </c>
      <c r="AS211" s="12">
        <v>1</v>
      </c>
      <c r="AT211" s="14">
        <v>51450</v>
      </c>
    </row>
    <row r="212" spans="1:46" x14ac:dyDescent="0.3">
      <c r="A212" s="13">
        <v>211</v>
      </c>
      <c r="B212" s="7">
        <v>20</v>
      </c>
      <c r="C212" s="7" t="s">
        <v>14</v>
      </c>
      <c r="D212" s="7" t="s">
        <v>29</v>
      </c>
      <c r="E212" s="2" t="s">
        <v>28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1</v>
      </c>
      <c r="S212" s="36">
        <v>0</v>
      </c>
      <c r="T212" s="8">
        <v>54</v>
      </c>
      <c r="U212" s="7">
        <v>171</v>
      </c>
      <c r="V212" s="9">
        <v>84</v>
      </c>
      <c r="W212" s="9">
        <v>20</v>
      </c>
      <c r="X212" s="35" t="s">
        <v>111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35">
        <v>1</v>
      </c>
      <c r="AF212" s="8">
        <v>7</v>
      </c>
      <c r="AG212" s="1" t="s">
        <v>24</v>
      </c>
      <c r="AH212" s="1">
        <v>0</v>
      </c>
      <c r="AI212" s="1">
        <v>0</v>
      </c>
      <c r="AJ212" s="7" t="s">
        <v>19</v>
      </c>
      <c r="AK212" s="1">
        <v>1</v>
      </c>
      <c r="AL212" s="1" t="s">
        <v>25</v>
      </c>
      <c r="AM212" s="1">
        <v>1</v>
      </c>
      <c r="AN212" s="12">
        <v>260869</v>
      </c>
      <c r="AO212" s="12">
        <v>8</v>
      </c>
      <c r="AP212" s="12">
        <v>2</v>
      </c>
      <c r="AQ212" s="12">
        <v>6</v>
      </c>
      <c r="AR212" s="12" t="s">
        <v>47</v>
      </c>
      <c r="AS212" s="12">
        <v>1</v>
      </c>
      <c r="AT212" s="14">
        <v>60000</v>
      </c>
    </row>
    <row r="213" spans="1:46" x14ac:dyDescent="0.3">
      <c r="A213" s="13">
        <v>212</v>
      </c>
      <c r="B213" s="30">
        <v>0.66666666666666663</v>
      </c>
      <c r="C213" s="7" t="s">
        <v>27</v>
      </c>
      <c r="D213" s="7" t="s">
        <v>29</v>
      </c>
      <c r="E213" s="2" t="s">
        <v>42</v>
      </c>
      <c r="F213" s="2">
        <v>1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36">
        <v>0</v>
      </c>
      <c r="T213" s="8">
        <v>2.4</v>
      </c>
      <c r="U213" s="7">
        <v>47</v>
      </c>
      <c r="V213" s="9">
        <v>134</v>
      </c>
      <c r="W213" s="9">
        <v>34</v>
      </c>
      <c r="X213" s="35" t="s">
        <v>111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35">
        <v>1</v>
      </c>
      <c r="AF213" s="8">
        <v>12</v>
      </c>
      <c r="AG213" s="1" t="s">
        <v>24</v>
      </c>
      <c r="AH213" s="1">
        <v>0</v>
      </c>
      <c r="AI213" s="1">
        <v>0</v>
      </c>
      <c r="AJ213" s="7" t="s">
        <v>19</v>
      </c>
      <c r="AK213" s="1">
        <v>1</v>
      </c>
      <c r="AL213" s="1" t="s">
        <v>25</v>
      </c>
      <c r="AM213" s="1">
        <v>1</v>
      </c>
      <c r="AN213" s="12">
        <v>48156</v>
      </c>
      <c r="AO213" s="12">
        <v>6</v>
      </c>
      <c r="AP213" s="12">
        <v>1</v>
      </c>
      <c r="AQ213" s="12">
        <v>5</v>
      </c>
      <c r="AR213" s="12" t="s">
        <v>48</v>
      </c>
      <c r="AS213" s="12">
        <v>0</v>
      </c>
      <c r="AT213" s="14">
        <v>0</v>
      </c>
    </row>
    <row r="214" spans="1:46" x14ac:dyDescent="0.3">
      <c r="A214" s="13">
        <v>213</v>
      </c>
      <c r="B214" s="7">
        <v>3</v>
      </c>
      <c r="C214" s="7" t="s">
        <v>14</v>
      </c>
      <c r="D214" s="7" t="s">
        <v>29</v>
      </c>
      <c r="E214" s="2" t="s">
        <v>16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1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36">
        <v>0</v>
      </c>
      <c r="T214" s="8">
        <v>15</v>
      </c>
      <c r="U214" s="7">
        <v>100</v>
      </c>
      <c r="V214" s="9">
        <v>90</v>
      </c>
      <c r="W214" s="9">
        <v>22</v>
      </c>
      <c r="X214" s="1" t="s">
        <v>40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1</v>
      </c>
      <c r="AE214" s="1">
        <v>0</v>
      </c>
      <c r="AF214" s="8">
        <v>10.7</v>
      </c>
      <c r="AG214" s="1" t="s">
        <v>24</v>
      </c>
      <c r="AH214" s="1">
        <v>0</v>
      </c>
      <c r="AI214" s="1">
        <v>0</v>
      </c>
      <c r="AJ214" s="7" t="s">
        <v>19</v>
      </c>
      <c r="AK214" s="1">
        <v>1</v>
      </c>
      <c r="AL214" s="1" t="s">
        <v>25</v>
      </c>
      <c r="AM214" s="1">
        <v>1</v>
      </c>
      <c r="AN214" s="12">
        <v>69509</v>
      </c>
      <c r="AO214" s="12">
        <v>9</v>
      </c>
      <c r="AP214" s="12">
        <v>2</v>
      </c>
      <c r="AQ214" s="12">
        <v>7</v>
      </c>
      <c r="AR214" s="12" t="s">
        <v>48</v>
      </c>
      <c r="AS214" s="12">
        <v>0</v>
      </c>
      <c r="AT214" s="14">
        <v>0</v>
      </c>
    </row>
    <row r="215" spans="1:46" x14ac:dyDescent="0.3">
      <c r="A215" s="13">
        <v>214</v>
      </c>
      <c r="B215" s="7">
        <v>1</v>
      </c>
      <c r="C215" s="7" t="s">
        <v>27</v>
      </c>
      <c r="D215" s="7" t="s">
        <v>29</v>
      </c>
      <c r="E215" s="2" t="s">
        <v>42</v>
      </c>
      <c r="F215" s="2">
        <v>1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36">
        <v>0</v>
      </c>
      <c r="T215" s="8">
        <v>9.6999999999999993</v>
      </c>
      <c r="U215" s="7">
        <v>78</v>
      </c>
      <c r="V215" s="9">
        <v>112</v>
      </c>
      <c r="W215" s="9">
        <v>22</v>
      </c>
      <c r="X215" s="35" t="s">
        <v>111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35">
        <v>1</v>
      </c>
      <c r="AF215" s="8">
        <v>8.6999999999999993</v>
      </c>
      <c r="AG215" s="7" t="s">
        <v>37</v>
      </c>
      <c r="AH215" s="1">
        <v>0</v>
      </c>
      <c r="AI215" s="7">
        <v>1</v>
      </c>
      <c r="AJ215" s="7" t="s">
        <v>19</v>
      </c>
      <c r="AK215" s="1">
        <v>1</v>
      </c>
      <c r="AL215" s="1" t="s">
        <v>25</v>
      </c>
      <c r="AM215" s="1">
        <v>1</v>
      </c>
      <c r="AN215" s="12">
        <v>46093</v>
      </c>
      <c r="AO215" s="12">
        <v>6</v>
      </c>
      <c r="AP215" s="12">
        <v>1</v>
      </c>
      <c r="AQ215" s="12">
        <v>5</v>
      </c>
      <c r="AR215" s="12" t="s">
        <v>48</v>
      </c>
      <c r="AS215" s="12">
        <v>0</v>
      </c>
      <c r="AT215" s="14">
        <v>0</v>
      </c>
    </row>
    <row r="216" spans="1:46" x14ac:dyDescent="0.3">
      <c r="A216" s="13">
        <v>215</v>
      </c>
      <c r="B216" s="7">
        <v>56</v>
      </c>
      <c r="C216" s="7" t="s">
        <v>14</v>
      </c>
      <c r="D216" s="7" t="s">
        <v>15</v>
      </c>
      <c r="E216" s="2" t="s">
        <v>22</v>
      </c>
      <c r="F216" s="2">
        <v>0</v>
      </c>
      <c r="G216" s="2">
        <v>0</v>
      </c>
      <c r="H216" s="2">
        <v>0</v>
      </c>
      <c r="I216" s="2">
        <v>1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36">
        <v>0</v>
      </c>
      <c r="T216" s="8">
        <v>78</v>
      </c>
      <c r="U216" s="7">
        <v>169</v>
      </c>
      <c r="V216" s="9">
        <v>70</v>
      </c>
      <c r="W216" s="9">
        <v>20</v>
      </c>
      <c r="X216" s="1" t="s">
        <v>32</v>
      </c>
      <c r="Y216" s="1">
        <v>1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8">
        <v>13.4</v>
      </c>
      <c r="AG216" s="1" t="s">
        <v>24</v>
      </c>
      <c r="AH216" s="1">
        <v>0</v>
      </c>
      <c r="AI216" s="1">
        <v>0</v>
      </c>
      <c r="AJ216" s="7" t="s">
        <v>19</v>
      </c>
      <c r="AK216" s="1">
        <v>1</v>
      </c>
      <c r="AL216" s="1" t="s">
        <v>25</v>
      </c>
      <c r="AM216" s="1">
        <v>1</v>
      </c>
      <c r="AN216" s="12">
        <v>188824</v>
      </c>
      <c r="AO216" s="12">
        <v>9</v>
      </c>
      <c r="AP216" s="12">
        <v>5</v>
      </c>
      <c r="AQ216" s="12">
        <v>4</v>
      </c>
      <c r="AR216" s="12" t="s">
        <v>48</v>
      </c>
      <c r="AS216" s="12">
        <v>0</v>
      </c>
      <c r="AT216" s="14">
        <v>0</v>
      </c>
    </row>
    <row r="217" spans="1:46" x14ac:dyDescent="0.3">
      <c r="A217" s="13">
        <v>216</v>
      </c>
      <c r="B217" s="7">
        <v>45</v>
      </c>
      <c r="C217" s="7" t="s">
        <v>14</v>
      </c>
      <c r="D217" s="7" t="s">
        <v>15</v>
      </c>
      <c r="E217" s="2" t="s">
        <v>22</v>
      </c>
      <c r="F217" s="2">
        <v>0</v>
      </c>
      <c r="G217" s="2">
        <v>0</v>
      </c>
      <c r="H217" s="2">
        <v>0</v>
      </c>
      <c r="I217" s="2">
        <v>1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36">
        <v>0</v>
      </c>
      <c r="T217" s="8">
        <v>70</v>
      </c>
      <c r="U217" s="7">
        <v>160</v>
      </c>
      <c r="V217" s="9">
        <v>70</v>
      </c>
      <c r="W217" s="9">
        <v>24</v>
      </c>
      <c r="X217" s="35" t="s">
        <v>111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35">
        <v>1</v>
      </c>
      <c r="AF217" s="8">
        <v>15</v>
      </c>
      <c r="AG217" s="1" t="s">
        <v>24</v>
      </c>
      <c r="AH217" s="1">
        <v>0</v>
      </c>
      <c r="AI217" s="1">
        <v>0</v>
      </c>
      <c r="AJ217" s="7" t="s">
        <v>19</v>
      </c>
      <c r="AK217" s="1">
        <v>1</v>
      </c>
      <c r="AL217" s="1" t="s">
        <v>25</v>
      </c>
      <c r="AM217" s="1">
        <v>1</v>
      </c>
      <c r="AN217" s="12">
        <v>143482</v>
      </c>
      <c r="AO217" s="12">
        <v>10</v>
      </c>
      <c r="AP217" s="12">
        <v>2</v>
      </c>
      <c r="AQ217" s="12">
        <v>8</v>
      </c>
      <c r="AR217" s="12" t="s">
        <v>48</v>
      </c>
      <c r="AS217" s="12">
        <v>0</v>
      </c>
      <c r="AT217" s="14">
        <v>0</v>
      </c>
    </row>
    <row r="218" spans="1:46" ht="26.4" x14ac:dyDescent="0.3">
      <c r="A218" s="13">
        <v>217</v>
      </c>
      <c r="B218" s="7">
        <v>11</v>
      </c>
      <c r="C218" s="7" t="s">
        <v>14</v>
      </c>
      <c r="D218" s="7" t="s">
        <v>29</v>
      </c>
      <c r="E218" s="2" t="s">
        <v>41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1</v>
      </c>
      <c r="Q218" s="2">
        <v>0</v>
      </c>
      <c r="R218" s="2">
        <v>0</v>
      </c>
      <c r="S218" s="36">
        <v>0</v>
      </c>
      <c r="T218" s="8">
        <v>19</v>
      </c>
      <c r="U218" s="7">
        <v>124</v>
      </c>
      <c r="V218" s="9">
        <v>120</v>
      </c>
      <c r="W218" s="9">
        <v>22</v>
      </c>
      <c r="X218" s="35" t="s">
        <v>111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35">
        <v>1</v>
      </c>
      <c r="AF218" s="8">
        <v>23.8</v>
      </c>
      <c r="AG218" s="1" t="s">
        <v>24</v>
      </c>
      <c r="AH218" s="1">
        <v>0</v>
      </c>
      <c r="AI218" s="1">
        <v>0</v>
      </c>
      <c r="AJ218" s="7" t="s">
        <v>19</v>
      </c>
      <c r="AK218" s="1">
        <v>1</v>
      </c>
      <c r="AL218" s="1" t="s">
        <v>25</v>
      </c>
      <c r="AM218" s="1">
        <v>1</v>
      </c>
      <c r="AN218" s="12">
        <v>220899</v>
      </c>
      <c r="AO218" s="12">
        <v>17</v>
      </c>
      <c r="AP218" s="12">
        <v>3</v>
      </c>
      <c r="AQ218" s="12">
        <v>14</v>
      </c>
      <c r="AR218" s="12" t="s">
        <v>48</v>
      </c>
      <c r="AS218" s="12">
        <v>0</v>
      </c>
      <c r="AT218" s="14">
        <v>0</v>
      </c>
    </row>
    <row r="219" spans="1:46" x14ac:dyDescent="0.3">
      <c r="A219" s="13">
        <v>218</v>
      </c>
      <c r="B219" s="7">
        <v>58</v>
      </c>
      <c r="C219" s="7" t="s">
        <v>14</v>
      </c>
      <c r="D219" s="7" t="s">
        <v>15</v>
      </c>
      <c r="E219" s="2" t="s">
        <v>21</v>
      </c>
      <c r="F219" s="2">
        <v>0</v>
      </c>
      <c r="G219" s="2">
        <v>1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36">
        <v>0</v>
      </c>
      <c r="T219" s="8">
        <v>63</v>
      </c>
      <c r="U219" s="7">
        <v>156</v>
      </c>
      <c r="V219" s="9">
        <v>72</v>
      </c>
      <c r="W219" s="9">
        <v>14</v>
      </c>
      <c r="X219" s="35" t="s">
        <v>111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35">
        <v>1</v>
      </c>
      <c r="AF219" s="8">
        <v>14.1</v>
      </c>
      <c r="AG219" s="1" t="s">
        <v>24</v>
      </c>
      <c r="AH219" s="1">
        <v>0</v>
      </c>
      <c r="AI219" s="1">
        <v>0</v>
      </c>
      <c r="AJ219" s="7" t="s">
        <v>19</v>
      </c>
      <c r="AK219" s="1">
        <v>1</v>
      </c>
      <c r="AL219" s="1" t="s">
        <v>25</v>
      </c>
      <c r="AM219" s="1">
        <v>1</v>
      </c>
      <c r="AN219" s="12">
        <v>151931</v>
      </c>
      <c r="AO219" s="12">
        <v>8</v>
      </c>
      <c r="AP219" s="12">
        <v>2</v>
      </c>
      <c r="AQ219" s="12">
        <v>6</v>
      </c>
      <c r="AR219" s="12" t="s">
        <v>48</v>
      </c>
      <c r="AS219" s="12">
        <v>0</v>
      </c>
      <c r="AT219" s="14">
        <v>0</v>
      </c>
    </row>
    <row r="220" spans="1:46" x14ac:dyDescent="0.3">
      <c r="A220" s="13">
        <v>219</v>
      </c>
      <c r="B220" s="7">
        <v>20</v>
      </c>
      <c r="C220" s="7" t="s">
        <v>27</v>
      </c>
      <c r="D220" s="7" t="s">
        <v>29</v>
      </c>
      <c r="E220" s="2" t="s">
        <v>28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1</v>
      </c>
      <c r="S220" s="36">
        <v>0</v>
      </c>
      <c r="T220" s="8">
        <v>45</v>
      </c>
      <c r="U220" s="7">
        <v>147</v>
      </c>
      <c r="V220" s="9">
        <v>88</v>
      </c>
      <c r="W220" s="9">
        <v>22</v>
      </c>
      <c r="X220" s="1" t="s">
        <v>40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1</v>
      </c>
      <c r="AE220" s="1">
        <v>0</v>
      </c>
      <c r="AF220" s="8">
        <v>11.9</v>
      </c>
      <c r="AG220" s="1" t="s">
        <v>24</v>
      </c>
      <c r="AH220" s="1">
        <v>0</v>
      </c>
      <c r="AI220" s="1">
        <v>0</v>
      </c>
      <c r="AJ220" s="7" t="s">
        <v>19</v>
      </c>
      <c r="AK220" s="1">
        <v>1</v>
      </c>
      <c r="AL220" s="1" t="s">
        <v>25</v>
      </c>
      <c r="AM220" s="1">
        <v>1</v>
      </c>
      <c r="AN220" s="12">
        <v>156374</v>
      </c>
      <c r="AO220" s="12">
        <v>8</v>
      </c>
      <c r="AP220" s="12">
        <v>1</v>
      </c>
      <c r="AQ220" s="12">
        <v>7</v>
      </c>
      <c r="AR220" s="12" t="s">
        <v>47</v>
      </c>
      <c r="AS220" s="12">
        <v>1</v>
      </c>
      <c r="AT220" s="14">
        <v>20900</v>
      </c>
    </row>
    <row r="221" spans="1:46" ht="26.4" x14ac:dyDescent="0.3">
      <c r="A221" s="13">
        <v>220</v>
      </c>
      <c r="B221" s="7">
        <v>1</v>
      </c>
      <c r="C221" s="7" t="s">
        <v>27</v>
      </c>
      <c r="D221" s="7" t="s">
        <v>29</v>
      </c>
      <c r="E221" s="2" t="s">
        <v>41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1</v>
      </c>
      <c r="Q221" s="2">
        <v>0</v>
      </c>
      <c r="R221" s="2">
        <v>0</v>
      </c>
      <c r="S221" s="36">
        <v>0</v>
      </c>
      <c r="T221" s="8">
        <v>10</v>
      </c>
      <c r="U221" s="7">
        <v>70</v>
      </c>
      <c r="V221" s="9">
        <v>108</v>
      </c>
      <c r="W221" s="9">
        <v>24</v>
      </c>
      <c r="X221" s="35" t="s">
        <v>111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35">
        <v>1</v>
      </c>
      <c r="AF221" s="8">
        <v>11.9</v>
      </c>
      <c r="AG221" s="1" t="s">
        <v>24</v>
      </c>
      <c r="AH221" s="1">
        <v>0</v>
      </c>
      <c r="AI221" s="1">
        <v>0</v>
      </c>
      <c r="AJ221" s="7" t="s">
        <v>19</v>
      </c>
      <c r="AK221" s="1">
        <v>1</v>
      </c>
      <c r="AL221" s="1" t="s">
        <v>25</v>
      </c>
      <c r="AM221" s="1">
        <v>1</v>
      </c>
      <c r="AN221" s="12">
        <v>238320</v>
      </c>
      <c r="AO221" s="12">
        <v>13</v>
      </c>
      <c r="AP221" s="12">
        <v>3</v>
      </c>
      <c r="AQ221" s="12">
        <v>10</v>
      </c>
      <c r="AR221" s="12" t="s">
        <v>48</v>
      </c>
      <c r="AS221" s="12">
        <v>0</v>
      </c>
      <c r="AT221" s="14">
        <v>0</v>
      </c>
    </row>
    <row r="222" spans="1:46" x14ac:dyDescent="0.3">
      <c r="A222" s="13">
        <v>221</v>
      </c>
      <c r="B222" s="7">
        <v>24</v>
      </c>
      <c r="C222" s="7" t="s">
        <v>14</v>
      </c>
      <c r="D222" s="7" t="s">
        <v>29</v>
      </c>
      <c r="E222" s="2" t="s">
        <v>43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1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36">
        <v>0</v>
      </c>
      <c r="T222" s="8">
        <v>74.8</v>
      </c>
      <c r="U222" s="7">
        <v>158</v>
      </c>
      <c r="V222" s="9">
        <v>78</v>
      </c>
      <c r="W222" s="9">
        <v>20</v>
      </c>
      <c r="X222" s="35" t="s">
        <v>111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35">
        <v>1</v>
      </c>
      <c r="AF222" s="8">
        <v>11.4</v>
      </c>
      <c r="AG222" s="1" t="s">
        <v>24</v>
      </c>
      <c r="AH222" s="1">
        <v>0</v>
      </c>
      <c r="AI222" s="1">
        <v>0</v>
      </c>
      <c r="AJ222" s="7" t="s">
        <v>19</v>
      </c>
      <c r="AK222" s="1">
        <v>1</v>
      </c>
      <c r="AL222" s="1" t="s">
        <v>25</v>
      </c>
      <c r="AM222" s="1">
        <v>1</v>
      </c>
      <c r="AN222" s="12">
        <v>205998</v>
      </c>
      <c r="AO222" s="12">
        <v>10</v>
      </c>
      <c r="AP222" s="12">
        <v>3</v>
      </c>
      <c r="AQ222" s="12">
        <v>7</v>
      </c>
      <c r="AR222" s="12" t="s">
        <v>48</v>
      </c>
      <c r="AS222" s="12">
        <v>0</v>
      </c>
      <c r="AT222" s="14">
        <v>0</v>
      </c>
    </row>
    <row r="223" spans="1:46" x14ac:dyDescent="0.3">
      <c r="A223" s="13">
        <v>222</v>
      </c>
      <c r="B223" s="7">
        <v>44</v>
      </c>
      <c r="C223" s="7" t="s">
        <v>14</v>
      </c>
      <c r="D223" s="7" t="s">
        <v>15</v>
      </c>
      <c r="E223" s="2" t="s">
        <v>110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1</v>
      </c>
      <c r="T223" s="8">
        <v>62</v>
      </c>
      <c r="U223" s="7">
        <v>165</v>
      </c>
      <c r="V223" s="9">
        <v>80</v>
      </c>
      <c r="W223" s="9">
        <v>24</v>
      </c>
      <c r="X223" s="1" t="s">
        <v>31</v>
      </c>
      <c r="Y223" s="1">
        <v>0</v>
      </c>
      <c r="Z223" s="1">
        <v>0</v>
      </c>
      <c r="AA223" s="1">
        <v>0</v>
      </c>
      <c r="AB223" s="1">
        <v>1</v>
      </c>
      <c r="AC223" s="1">
        <v>0</v>
      </c>
      <c r="AD223" s="1">
        <v>0</v>
      </c>
      <c r="AE223" s="1">
        <v>0</v>
      </c>
      <c r="AF223" s="8">
        <v>8.1</v>
      </c>
      <c r="AG223" s="1" t="s">
        <v>24</v>
      </c>
      <c r="AH223" s="1">
        <v>0</v>
      </c>
      <c r="AI223" s="1">
        <v>0</v>
      </c>
      <c r="AJ223" s="7" t="s">
        <v>19</v>
      </c>
      <c r="AK223" s="1">
        <v>1</v>
      </c>
      <c r="AL223" s="1" t="s">
        <v>25</v>
      </c>
      <c r="AM223" s="1">
        <v>1</v>
      </c>
      <c r="AN223" s="12">
        <v>78251</v>
      </c>
      <c r="AO223" s="12">
        <v>11</v>
      </c>
      <c r="AP223" s="12">
        <v>1</v>
      </c>
      <c r="AQ223" s="12">
        <v>10</v>
      </c>
      <c r="AR223" s="12" t="s">
        <v>48</v>
      </c>
      <c r="AS223" s="12">
        <v>0</v>
      </c>
      <c r="AT223" s="14">
        <v>0</v>
      </c>
    </row>
    <row r="224" spans="1:46" ht="26.4" x14ac:dyDescent="0.3">
      <c r="A224" s="13">
        <v>223</v>
      </c>
      <c r="B224" s="7">
        <v>17</v>
      </c>
      <c r="C224" s="7" t="s">
        <v>14</v>
      </c>
      <c r="D224" s="7" t="s">
        <v>29</v>
      </c>
      <c r="E224" s="2" t="s">
        <v>41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1</v>
      </c>
      <c r="Q224" s="2">
        <v>0</v>
      </c>
      <c r="R224" s="2">
        <v>0</v>
      </c>
      <c r="S224" s="36">
        <v>0</v>
      </c>
      <c r="T224" s="8">
        <v>46.8</v>
      </c>
      <c r="U224" s="7">
        <v>158</v>
      </c>
      <c r="V224" s="9">
        <v>76</v>
      </c>
      <c r="W224" s="9">
        <v>22</v>
      </c>
      <c r="X224" s="35" t="s">
        <v>111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35">
        <v>1</v>
      </c>
      <c r="AF224" s="8">
        <v>15.1</v>
      </c>
      <c r="AG224" s="1" t="s">
        <v>24</v>
      </c>
      <c r="AH224" s="1">
        <v>0</v>
      </c>
      <c r="AI224" s="1">
        <v>0</v>
      </c>
      <c r="AJ224" s="7" t="s">
        <v>19</v>
      </c>
      <c r="AK224" s="1">
        <v>1</v>
      </c>
      <c r="AL224" s="1" t="s">
        <v>25</v>
      </c>
      <c r="AM224" s="1">
        <v>1</v>
      </c>
      <c r="AN224" s="12">
        <v>175576</v>
      </c>
      <c r="AO224" s="12">
        <v>12</v>
      </c>
      <c r="AP224" s="12">
        <v>2</v>
      </c>
      <c r="AQ224" s="12">
        <v>10</v>
      </c>
      <c r="AR224" s="12" t="s">
        <v>48</v>
      </c>
      <c r="AS224" s="12">
        <v>0</v>
      </c>
      <c r="AT224" s="14">
        <v>0</v>
      </c>
    </row>
    <row r="225" spans="1:46" x14ac:dyDescent="0.3">
      <c r="A225" s="13">
        <v>224</v>
      </c>
      <c r="B225" s="7">
        <v>26</v>
      </c>
      <c r="C225" s="7" t="s">
        <v>14</v>
      </c>
      <c r="D225" s="7" t="s">
        <v>15</v>
      </c>
      <c r="E225" s="2" t="s">
        <v>16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1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36">
        <v>0</v>
      </c>
      <c r="T225" s="8">
        <v>41</v>
      </c>
      <c r="U225" s="7">
        <v>158</v>
      </c>
      <c r="V225" s="9">
        <v>68</v>
      </c>
      <c r="W225" s="9">
        <v>24</v>
      </c>
      <c r="X225" s="35" t="s">
        <v>111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35">
        <v>1</v>
      </c>
      <c r="AF225" s="8">
        <v>15</v>
      </c>
      <c r="AG225" s="1" t="s">
        <v>24</v>
      </c>
      <c r="AH225" s="1">
        <v>0</v>
      </c>
      <c r="AI225" s="1">
        <v>0</v>
      </c>
      <c r="AJ225" s="7" t="s">
        <v>19</v>
      </c>
      <c r="AK225" s="1">
        <v>1</v>
      </c>
      <c r="AL225" s="1" t="s">
        <v>25</v>
      </c>
      <c r="AM225" s="1">
        <v>1</v>
      </c>
      <c r="AN225" s="12">
        <v>177874</v>
      </c>
      <c r="AO225" s="12">
        <v>8</v>
      </c>
      <c r="AP225" s="12">
        <v>2</v>
      </c>
      <c r="AQ225" s="12">
        <v>6</v>
      </c>
      <c r="AR225" s="12" t="s">
        <v>47</v>
      </c>
      <c r="AS225" s="12">
        <v>1</v>
      </c>
      <c r="AT225" s="14">
        <v>20900</v>
      </c>
    </row>
    <row r="226" spans="1:46" ht="26.4" x14ac:dyDescent="0.3">
      <c r="A226" s="13">
        <v>225</v>
      </c>
      <c r="B226" s="30">
        <v>0.91666666666666663</v>
      </c>
      <c r="C226" s="7" t="s">
        <v>27</v>
      </c>
      <c r="D226" s="7" t="s">
        <v>29</v>
      </c>
      <c r="E226" s="2" t="s">
        <v>41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1</v>
      </c>
      <c r="Q226" s="2">
        <v>0</v>
      </c>
      <c r="R226" s="2">
        <v>0</v>
      </c>
      <c r="S226" s="36">
        <v>0</v>
      </c>
      <c r="T226" s="8">
        <v>6</v>
      </c>
      <c r="U226" s="7">
        <v>76</v>
      </c>
      <c r="V226" s="9">
        <v>90</v>
      </c>
      <c r="W226" s="9">
        <v>24</v>
      </c>
      <c r="X226" s="35" t="s">
        <v>111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35">
        <v>1</v>
      </c>
      <c r="AF226" s="8">
        <v>11.7</v>
      </c>
      <c r="AG226" s="1" t="s">
        <v>24</v>
      </c>
      <c r="AH226" s="1">
        <v>0</v>
      </c>
      <c r="AI226" s="1">
        <v>0</v>
      </c>
      <c r="AJ226" s="7" t="s">
        <v>19</v>
      </c>
      <c r="AK226" s="1">
        <v>1</v>
      </c>
      <c r="AL226" s="1" t="s">
        <v>25</v>
      </c>
      <c r="AM226" s="1">
        <v>1</v>
      </c>
      <c r="AN226" s="12">
        <v>144731</v>
      </c>
      <c r="AO226" s="12">
        <v>6</v>
      </c>
      <c r="AP226" s="12">
        <v>3</v>
      </c>
      <c r="AQ226" s="12">
        <v>3</v>
      </c>
      <c r="AR226" s="12" t="s">
        <v>48</v>
      </c>
      <c r="AS226" s="12">
        <v>0</v>
      </c>
      <c r="AT226" s="14">
        <v>0</v>
      </c>
    </row>
    <row r="227" spans="1:46" x14ac:dyDescent="0.3">
      <c r="A227" s="13">
        <v>226</v>
      </c>
      <c r="B227" s="7">
        <v>55</v>
      </c>
      <c r="C227" s="7" t="s">
        <v>14</v>
      </c>
      <c r="D227" s="7" t="s">
        <v>15</v>
      </c>
      <c r="E227" s="2" t="s">
        <v>42</v>
      </c>
      <c r="F227" s="2">
        <v>1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36">
        <v>0</v>
      </c>
      <c r="T227" s="8">
        <v>55</v>
      </c>
      <c r="U227" s="7">
        <v>164</v>
      </c>
      <c r="V227" s="9">
        <v>96</v>
      </c>
      <c r="W227" s="9">
        <v>24</v>
      </c>
      <c r="X227" s="35" t="s">
        <v>111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35">
        <v>1</v>
      </c>
      <c r="AF227" s="8">
        <v>12.8</v>
      </c>
      <c r="AG227" s="1" t="s">
        <v>24</v>
      </c>
      <c r="AH227" s="1">
        <v>0</v>
      </c>
      <c r="AI227" s="1">
        <v>0</v>
      </c>
      <c r="AJ227" s="7" t="s">
        <v>19</v>
      </c>
      <c r="AK227" s="1">
        <v>1</v>
      </c>
      <c r="AL227" s="1" t="s">
        <v>25</v>
      </c>
      <c r="AM227" s="1">
        <v>1</v>
      </c>
      <c r="AN227" s="12">
        <v>178037</v>
      </c>
      <c r="AO227" s="12">
        <v>12</v>
      </c>
      <c r="AP227" s="12">
        <v>3</v>
      </c>
      <c r="AQ227" s="12">
        <v>9</v>
      </c>
      <c r="AR227" s="12" t="s">
        <v>48</v>
      </c>
      <c r="AS227" s="12">
        <v>0</v>
      </c>
      <c r="AT227" s="14">
        <v>0</v>
      </c>
    </row>
    <row r="228" spans="1:46" x14ac:dyDescent="0.3">
      <c r="A228" s="13">
        <v>227</v>
      </c>
      <c r="B228" s="7">
        <v>9</v>
      </c>
      <c r="C228" s="7" t="s">
        <v>27</v>
      </c>
      <c r="D228" s="7" t="s">
        <v>29</v>
      </c>
      <c r="E228" s="2" t="s">
        <v>43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1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36">
        <v>0</v>
      </c>
      <c r="T228" s="8">
        <v>23</v>
      </c>
      <c r="U228" s="7">
        <v>132</v>
      </c>
      <c r="V228" s="9">
        <v>100</v>
      </c>
      <c r="W228" s="9">
        <v>20</v>
      </c>
      <c r="X228" s="35" t="s">
        <v>111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35">
        <v>1</v>
      </c>
      <c r="AF228" s="8">
        <v>12</v>
      </c>
      <c r="AG228" s="1" t="s">
        <v>24</v>
      </c>
      <c r="AH228" s="1">
        <v>0</v>
      </c>
      <c r="AI228" s="1">
        <v>0</v>
      </c>
      <c r="AJ228" s="7" t="s">
        <v>19</v>
      </c>
      <c r="AK228" s="1">
        <v>1</v>
      </c>
      <c r="AL228" s="1" t="s">
        <v>25</v>
      </c>
      <c r="AM228" s="1">
        <v>1</v>
      </c>
      <c r="AN228" s="12">
        <v>114513</v>
      </c>
      <c r="AO228" s="12">
        <v>8</v>
      </c>
      <c r="AP228" s="12">
        <v>1</v>
      </c>
      <c r="AQ228" s="12">
        <v>7</v>
      </c>
      <c r="AR228" s="12" t="s">
        <v>48</v>
      </c>
      <c r="AS228" s="12">
        <v>0</v>
      </c>
      <c r="AT228" s="14">
        <v>0</v>
      </c>
    </row>
    <row r="229" spans="1:46" x14ac:dyDescent="0.3">
      <c r="A229" s="13">
        <v>228</v>
      </c>
      <c r="B229" s="7">
        <v>65</v>
      </c>
      <c r="C229" s="7" t="s">
        <v>14</v>
      </c>
      <c r="D229" s="7" t="s">
        <v>15</v>
      </c>
      <c r="E229" s="2" t="s">
        <v>22</v>
      </c>
      <c r="F229" s="2">
        <v>0</v>
      </c>
      <c r="G229" s="2">
        <v>0</v>
      </c>
      <c r="H229" s="2">
        <v>0</v>
      </c>
      <c r="I229" s="2">
        <v>1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36">
        <v>0</v>
      </c>
      <c r="T229" s="8">
        <v>71.400000000000006</v>
      </c>
      <c r="U229" s="7">
        <v>164</v>
      </c>
      <c r="V229" s="9">
        <v>85</v>
      </c>
      <c r="W229" s="9">
        <v>19</v>
      </c>
      <c r="X229" s="35" t="s">
        <v>111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35">
        <v>1</v>
      </c>
      <c r="AF229" s="8">
        <v>13.7</v>
      </c>
      <c r="AG229" s="7" t="s">
        <v>18</v>
      </c>
      <c r="AH229" s="1">
        <v>1</v>
      </c>
      <c r="AI229" s="7">
        <v>0</v>
      </c>
      <c r="AJ229" s="7" t="s">
        <v>19</v>
      </c>
      <c r="AK229" s="1">
        <v>1</v>
      </c>
      <c r="AL229" s="7" t="s">
        <v>20</v>
      </c>
      <c r="AM229" s="1">
        <v>0</v>
      </c>
      <c r="AN229" s="12">
        <v>212287</v>
      </c>
      <c r="AO229" s="12">
        <v>11</v>
      </c>
      <c r="AP229" s="12">
        <v>5</v>
      </c>
      <c r="AQ229" s="12">
        <v>6</v>
      </c>
      <c r="AR229" s="12" t="s">
        <v>48</v>
      </c>
      <c r="AS229" s="12">
        <v>0</v>
      </c>
      <c r="AT229" s="14">
        <v>0</v>
      </c>
    </row>
    <row r="230" spans="1:46" x14ac:dyDescent="0.3">
      <c r="A230" s="13">
        <v>229</v>
      </c>
      <c r="B230" s="7">
        <v>4</v>
      </c>
      <c r="C230" s="7" t="s">
        <v>27</v>
      </c>
      <c r="D230" s="7" t="s">
        <v>29</v>
      </c>
      <c r="E230" s="2" t="s">
        <v>44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1</v>
      </c>
      <c r="R230" s="2">
        <v>0</v>
      </c>
      <c r="S230" s="36">
        <v>0</v>
      </c>
      <c r="T230" s="8">
        <v>10</v>
      </c>
      <c r="U230" s="7">
        <v>81</v>
      </c>
      <c r="V230" s="9">
        <v>120</v>
      </c>
      <c r="W230" s="9">
        <v>24</v>
      </c>
      <c r="X230" s="35" t="s">
        <v>111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35">
        <v>1</v>
      </c>
      <c r="AF230" s="8">
        <v>12.1</v>
      </c>
      <c r="AG230" s="1" t="s">
        <v>24</v>
      </c>
      <c r="AH230" s="1">
        <v>0</v>
      </c>
      <c r="AI230" s="1">
        <v>0</v>
      </c>
      <c r="AJ230" s="7" t="s">
        <v>19</v>
      </c>
      <c r="AK230" s="1">
        <v>1</v>
      </c>
      <c r="AL230" s="1" t="s">
        <v>25</v>
      </c>
      <c r="AM230" s="1">
        <v>1</v>
      </c>
      <c r="AN230" s="12">
        <v>145697</v>
      </c>
      <c r="AO230" s="12">
        <v>7</v>
      </c>
      <c r="AP230" s="12">
        <v>2</v>
      </c>
      <c r="AQ230" s="12">
        <v>5</v>
      </c>
      <c r="AR230" s="12" t="s">
        <v>48</v>
      </c>
      <c r="AS230" s="12">
        <v>0</v>
      </c>
      <c r="AT230" s="14">
        <v>0</v>
      </c>
    </row>
    <row r="231" spans="1:46" x14ac:dyDescent="0.3">
      <c r="A231" s="13">
        <v>230</v>
      </c>
      <c r="B231" s="30">
        <v>0.91666666666666663</v>
      </c>
      <c r="C231" s="7" t="s">
        <v>14</v>
      </c>
      <c r="D231" s="7" t="s">
        <v>29</v>
      </c>
      <c r="E231" s="2" t="s">
        <v>44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1</v>
      </c>
      <c r="R231" s="2">
        <v>0</v>
      </c>
      <c r="S231" s="36">
        <v>0</v>
      </c>
      <c r="T231" s="8">
        <v>6.4</v>
      </c>
      <c r="U231" s="7">
        <v>76</v>
      </c>
      <c r="V231" s="9">
        <v>130</v>
      </c>
      <c r="W231" s="9">
        <v>24</v>
      </c>
      <c r="X231" s="35" t="s">
        <v>111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35">
        <v>1</v>
      </c>
      <c r="AF231" s="8">
        <v>11.1</v>
      </c>
      <c r="AG231" s="1" t="s">
        <v>24</v>
      </c>
      <c r="AH231" s="1">
        <v>0</v>
      </c>
      <c r="AI231" s="1">
        <v>0</v>
      </c>
      <c r="AJ231" s="7" t="s">
        <v>19</v>
      </c>
      <c r="AK231" s="1">
        <v>1</v>
      </c>
      <c r="AL231" s="1" t="s">
        <v>25</v>
      </c>
      <c r="AM231" s="1">
        <v>1</v>
      </c>
      <c r="AN231" s="12">
        <v>146700</v>
      </c>
      <c r="AO231" s="12">
        <v>7</v>
      </c>
      <c r="AP231" s="12">
        <v>2</v>
      </c>
      <c r="AQ231" s="12">
        <v>5</v>
      </c>
      <c r="AR231" s="12" t="s">
        <v>48</v>
      </c>
      <c r="AS231" s="12">
        <v>0</v>
      </c>
      <c r="AT231" s="14">
        <v>0</v>
      </c>
    </row>
    <row r="232" spans="1:46" x14ac:dyDescent="0.3">
      <c r="A232" s="13">
        <v>231</v>
      </c>
      <c r="B232" s="7">
        <v>7</v>
      </c>
      <c r="C232" s="7" t="s">
        <v>27</v>
      </c>
      <c r="D232" s="7" t="s">
        <v>29</v>
      </c>
      <c r="E232" s="2" t="s">
        <v>43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1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36">
        <v>0</v>
      </c>
      <c r="T232" s="8">
        <v>15.3</v>
      </c>
      <c r="U232" s="7">
        <v>117</v>
      </c>
      <c r="V232" s="9">
        <v>114</v>
      </c>
      <c r="W232" s="9">
        <v>24</v>
      </c>
      <c r="X232" s="35" t="s">
        <v>111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35">
        <v>1</v>
      </c>
      <c r="AF232" s="8">
        <v>11.5</v>
      </c>
      <c r="AG232" s="1" t="s">
        <v>24</v>
      </c>
      <c r="AH232" s="1">
        <v>0</v>
      </c>
      <c r="AI232" s="1">
        <v>0</v>
      </c>
      <c r="AJ232" s="7" t="s">
        <v>19</v>
      </c>
      <c r="AK232" s="1">
        <v>1</v>
      </c>
      <c r="AL232" s="1" t="s">
        <v>25</v>
      </c>
      <c r="AM232" s="1">
        <v>1</v>
      </c>
      <c r="AN232" s="12">
        <v>133436</v>
      </c>
      <c r="AO232" s="12">
        <v>13</v>
      </c>
      <c r="AP232" s="12">
        <v>1</v>
      </c>
      <c r="AQ232" s="12">
        <v>12</v>
      </c>
      <c r="AR232" s="12" t="s">
        <v>48</v>
      </c>
      <c r="AS232" s="12">
        <v>0</v>
      </c>
      <c r="AT232" s="14">
        <v>0</v>
      </c>
    </row>
    <row r="233" spans="1:46" x14ac:dyDescent="0.3">
      <c r="A233" s="13">
        <v>232</v>
      </c>
      <c r="B233" s="7">
        <v>65</v>
      </c>
      <c r="C233" s="7" t="s">
        <v>27</v>
      </c>
      <c r="D233" s="7" t="s">
        <v>15</v>
      </c>
      <c r="E233" s="2" t="s">
        <v>16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1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36">
        <v>0</v>
      </c>
      <c r="T233" s="8">
        <v>35.5</v>
      </c>
      <c r="U233" s="7">
        <v>138</v>
      </c>
      <c r="V233" s="9">
        <v>88</v>
      </c>
      <c r="W233" s="9">
        <v>24</v>
      </c>
      <c r="X233" s="1" t="s">
        <v>26</v>
      </c>
      <c r="Y233" s="1">
        <v>0</v>
      </c>
      <c r="Z233" s="1">
        <v>0</v>
      </c>
      <c r="AA233" s="1">
        <v>1</v>
      </c>
      <c r="AB233" s="1">
        <v>0</v>
      </c>
      <c r="AC233" s="1">
        <v>0</v>
      </c>
      <c r="AD233" s="1">
        <v>0</v>
      </c>
      <c r="AE233" s="1">
        <v>0</v>
      </c>
      <c r="AF233" s="8">
        <v>10.1</v>
      </c>
      <c r="AG233" s="1" t="s">
        <v>24</v>
      </c>
      <c r="AH233" s="1">
        <v>0</v>
      </c>
      <c r="AI233" s="1">
        <v>0</v>
      </c>
      <c r="AJ233" s="7" t="s">
        <v>19</v>
      </c>
      <c r="AK233" s="1">
        <v>1</v>
      </c>
      <c r="AL233" s="1" t="s">
        <v>25</v>
      </c>
      <c r="AM233" s="1">
        <v>1</v>
      </c>
      <c r="AN233" s="12">
        <v>147021</v>
      </c>
      <c r="AO233" s="12">
        <v>16</v>
      </c>
      <c r="AP233" s="12">
        <v>0</v>
      </c>
      <c r="AQ233" s="12">
        <v>16</v>
      </c>
      <c r="AR233" s="12" t="s">
        <v>48</v>
      </c>
      <c r="AS233" s="12">
        <v>0</v>
      </c>
      <c r="AT233" s="14">
        <v>0</v>
      </c>
    </row>
    <row r="234" spans="1:46" x14ac:dyDescent="0.3">
      <c r="A234" s="13">
        <v>233</v>
      </c>
      <c r="B234" s="7">
        <v>59</v>
      </c>
      <c r="C234" s="7" t="s">
        <v>14</v>
      </c>
      <c r="D234" s="7" t="s">
        <v>15</v>
      </c>
      <c r="E234" s="2" t="s">
        <v>22</v>
      </c>
      <c r="F234" s="2">
        <v>0</v>
      </c>
      <c r="G234" s="2">
        <v>0</v>
      </c>
      <c r="H234" s="2">
        <v>0</v>
      </c>
      <c r="I234" s="2">
        <v>1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36">
        <v>0</v>
      </c>
      <c r="T234" s="8">
        <v>78.2</v>
      </c>
      <c r="U234" s="7">
        <v>160</v>
      </c>
      <c r="V234" s="9">
        <v>78</v>
      </c>
      <c r="W234" s="9">
        <v>24</v>
      </c>
      <c r="X234" s="1" t="s">
        <v>32</v>
      </c>
      <c r="Y234" s="1">
        <v>1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8">
        <v>14.7</v>
      </c>
      <c r="AG234" s="1" t="s">
        <v>24</v>
      </c>
      <c r="AH234" s="1">
        <v>0</v>
      </c>
      <c r="AI234" s="1">
        <v>0</v>
      </c>
      <c r="AJ234" s="7" t="s">
        <v>19</v>
      </c>
      <c r="AK234" s="1">
        <v>1</v>
      </c>
      <c r="AL234" s="1" t="s">
        <v>25</v>
      </c>
      <c r="AM234" s="1">
        <v>1</v>
      </c>
      <c r="AN234" s="12">
        <v>149462</v>
      </c>
      <c r="AO234" s="12">
        <v>9</v>
      </c>
      <c r="AP234" s="12">
        <v>3</v>
      </c>
      <c r="AQ234" s="12">
        <v>6</v>
      </c>
      <c r="AR234" s="12" t="s">
        <v>48</v>
      </c>
      <c r="AS234" s="12">
        <v>0</v>
      </c>
      <c r="AT234" s="14">
        <v>0</v>
      </c>
    </row>
    <row r="235" spans="1:46" x14ac:dyDescent="0.3">
      <c r="A235" s="13">
        <v>234</v>
      </c>
      <c r="B235" s="7">
        <v>50</v>
      </c>
      <c r="C235" s="7" t="s">
        <v>14</v>
      </c>
      <c r="D235" s="7" t="s">
        <v>29</v>
      </c>
      <c r="E235" s="2" t="s">
        <v>21</v>
      </c>
      <c r="F235" s="2">
        <v>0</v>
      </c>
      <c r="G235" s="2">
        <v>1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36">
        <v>0</v>
      </c>
      <c r="T235" s="8">
        <v>64.099999999999994</v>
      </c>
      <c r="U235" s="7">
        <v>158</v>
      </c>
      <c r="V235" s="9">
        <v>82</v>
      </c>
      <c r="W235" s="9">
        <v>12</v>
      </c>
      <c r="X235" s="1" t="s">
        <v>31</v>
      </c>
      <c r="Y235" s="1">
        <v>0</v>
      </c>
      <c r="Z235" s="1">
        <v>0</v>
      </c>
      <c r="AA235" s="1">
        <v>0</v>
      </c>
      <c r="AB235" s="1">
        <v>1</v>
      </c>
      <c r="AC235" s="1">
        <v>0</v>
      </c>
      <c r="AD235" s="1">
        <v>0</v>
      </c>
      <c r="AE235" s="1">
        <v>0</v>
      </c>
      <c r="AF235" s="8">
        <v>10.3</v>
      </c>
      <c r="AG235" s="1" t="s">
        <v>24</v>
      </c>
      <c r="AH235" s="1">
        <v>0</v>
      </c>
      <c r="AI235" s="1">
        <v>0</v>
      </c>
      <c r="AJ235" s="7" t="s">
        <v>19</v>
      </c>
      <c r="AK235" s="1">
        <v>1</v>
      </c>
      <c r="AL235" s="1" t="s">
        <v>25</v>
      </c>
      <c r="AM235" s="1">
        <v>1</v>
      </c>
      <c r="AN235" s="12">
        <v>186450</v>
      </c>
      <c r="AO235" s="12">
        <v>11</v>
      </c>
      <c r="AP235" s="12">
        <v>5</v>
      </c>
      <c r="AQ235" s="12">
        <v>6</v>
      </c>
      <c r="AR235" s="12" t="s">
        <v>48</v>
      </c>
      <c r="AS235" s="12">
        <v>0</v>
      </c>
      <c r="AT235" s="14">
        <v>0</v>
      </c>
    </row>
    <row r="236" spans="1:46" x14ac:dyDescent="0.3">
      <c r="A236" s="13">
        <v>235</v>
      </c>
      <c r="B236" s="7">
        <v>34</v>
      </c>
      <c r="C236" s="7" t="s">
        <v>27</v>
      </c>
      <c r="D236" s="7" t="s">
        <v>15</v>
      </c>
      <c r="E236" s="2" t="s">
        <v>28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1</v>
      </c>
      <c r="S236" s="36">
        <v>0</v>
      </c>
      <c r="T236" s="8">
        <v>41</v>
      </c>
      <c r="U236" s="7">
        <v>155</v>
      </c>
      <c r="V236" s="9">
        <v>88</v>
      </c>
      <c r="W236" s="9">
        <v>22</v>
      </c>
      <c r="X236" s="35" t="s">
        <v>111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35">
        <v>1</v>
      </c>
      <c r="AF236" s="8">
        <v>12.7</v>
      </c>
      <c r="AG236" s="1" t="s">
        <v>24</v>
      </c>
      <c r="AH236" s="1">
        <v>0</v>
      </c>
      <c r="AI236" s="1">
        <v>0</v>
      </c>
      <c r="AJ236" s="7" t="s">
        <v>19</v>
      </c>
      <c r="AK236" s="1">
        <v>1</v>
      </c>
      <c r="AL236" s="1" t="s">
        <v>25</v>
      </c>
      <c r="AM236" s="1">
        <v>1</v>
      </c>
      <c r="AN236" s="12">
        <v>180713</v>
      </c>
      <c r="AO236" s="12">
        <v>10</v>
      </c>
      <c r="AP236" s="12">
        <v>2</v>
      </c>
      <c r="AQ236" s="12">
        <v>8</v>
      </c>
      <c r="AR236" s="12" t="s">
        <v>47</v>
      </c>
      <c r="AS236" s="12">
        <v>1</v>
      </c>
      <c r="AT236" s="14">
        <v>20900</v>
      </c>
    </row>
    <row r="237" spans="1:46" x14ac:dyDescent="0.3">
      <c r="A237" s="13">
        <v>236</v>
      </c>
      <c r="B237" s="7">
        <v>19</v>
      </c>
      <c r="C237" s="7" t="s">
        <v>14</v>
      </c>
      <c r="D237" s="7" t="s">
        <v>29</v>
      </c>
      <c r="E237" s="2" t="s">
        <v>43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1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36">
        <v>0</v>
      </c>
      <c r="T237" s="8">
        <v>41</v>
      </c>
      <c r="U237" s="7">
        <v>156</v>
      </c>
      <c r="V237" s="9">
        <v>72</v>
      </c>
      <c r="W237" s="9">
        <v>18</v>
      </c>
      <c r="X237" s="35" t="s">
        <v>111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35">
        <v>1</v>
      </c>
      <c r="AF237" s="8">
        <v>13.1</v>
      </c>
      <c r="AG237" s="1" t="s">
        <v>24</v>
      </c>
      <c r="AH237" s="1">
        <v>0</v>
      </c>
      <c r="AI237" s="1">
        <v>0</v>
      </c>
      <c r="AJ237" s="7" t="s">
        <v>19</v>
      </c>
      <c r="AK237" s="1">
        <v>1</v>
      </c>
      <c r="AL237" s="1" t="s">
        <v>25</v>
      </c>
      <c r="AM237" s="1">
        <v>1</v>
      </c>
      <c r="AN237" s="12">
        <v>135612</v>
      </c>
      <c r="AO237" s="12">
        <v>11</v>
      </c>
      <c r="AP237" s="12">
        <v>2</v>
      </c>
      <c r="AQ237" s="12">
        <v>9</v>
      </c>
      <c r="AR237" s="12" t="s">
        <v>48</v>
      </c>
      <c r="AS237" s="12">
        <v>0</v>
      </c>
      <c r="AT237" s="14">
        <v>0</v>
      </c>
    </row>
    <row r="238" spans="1:46" x14ac:dyDescent="0.3">
      <c r="A238" s="13">
        <v>237</v>
      </c>
      <c r="B238" s="7">
        <v>15</v>
      </c>
      <c r="C238" s="7" t="s">
        <v>14</v>
      </c>
      <c r="D238" s="7" t="s">
        <v>29</v>
      </c>
      <c r="E238" s="2" t="s">
        <v>28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1</v>
      </c>
      <c r="S238" s="36">
        <v>0</v>
      </c>
      <c r="T238" s="8">
        <v>52</v>
      </c>
      <c r="U238" s="7">
        <v>170</v>
      </c>
      <c r="V238" s="9">
        <v>82</v>
      </c>
      <c r="W238" s="9">
        <v>24</v>
      </c>
      <c r="X238" s="35" t="s">
        <v>111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35">
        <v>1</v>
      </c>
      <c r="AF238" s="8">
        <v>15.3</v>
      </c>
      <c r="AG238" s="1" t="s">
        <v>24</v>
      </c>
      <c r="AH238" s="1">
        <v>0</v>
      </c>
      <c r="AI238" s="1">
        <v>0</v>
      </c>
      <c r="AJ238" s="7" t="s">
        <v>19</v>
      </c>
      <c r="AK238" s="1">
        <v>1</v>
      </c>
      <c r="AL238" s="1" t="s">
        <v>25</v>
      </c>
      <c r="AM238" s="1">
        <v>1</v>
      </c>
      <c r="AN238" s="12">
        <v>209886</v>
      </c>
      <c r="AO238" s="12">
        <v>9</v>
      </c>
      <c r="AP238" s="12">
        <v>2</v>
      </c>
      <c r="AQ238" s="12">
        <v>7</v>
      </c>
      <c r="AR238" s="12" t="s">
        <v>47</v>
      </c>
      <c r="AS238" s="12">
        <v>1</v>
      </c>
      <c r="AT238" s="14">
        <v>41800</v>
      </c>
    </row>
    <row r="239" spans="1:46" x14ac:dyDescent="0.3">
      <c r="A239" s="13">
        <v>238</v>
      </c>
      <c r="B239" s="7">
        <v>10</v>
      </c>
      <c r="C239" s="7" t="s">
        <v>14</v>
      </c>
      <c r="D239" s="7" t="s">
        <v>29</v>
      </c>
      <c r="E239" s="2" t="s">
        <v>16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36">
        <v>0</v>
      </c>
      <c r="T239" s="8">
        <v>6.6</v>
      </c>
      <c r="U239" s="7">
        <v>75</v>
      </c>
      <c r="V239" s="9">
        <v>135</v>
      </c>
      <c r="W239" s="9">
        <v>24</v>
      </c>
      <c r="X239" s="35" t="s">
        <v>111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35">
        <v>1</v>
      </c>
      <c r="AF239" s="8">
        <v>8.5</v>
      </c>
      <c r="AG239" s="1" t="s">
        <v>24</v>
      </c>
      <c r="AH239" s="1">
        <v>0</v>
      </c>
      <c r="AI239" s="1">
        <v>0</v>
      </c>
      <c r="AJ239" s="7" t="s">
        <v>19</v>
      </c>
      <c r="AK239" s="1">
        <v>1</v>
      </c>
      <c r="AL239" s="1" t="s">
        <v>25</v>
      </c>
      <c r="AM239" s="1">
        <v>1</v>
      </c>
      <c r="AN239" s="12">
        <v>123320</v>
      </c>
      <c r="AO239" s="12">
        <v>9</v>
      </c>
      <c r="AP239" s="12">
        <v>1</v>
      </c>
      <c r="AQ239" s="12">
        <v>8</v>
      </c>
      <c r="AR239" s="12" t="s">
        <v>48</v>
      </c>
      <c r="AS239" s="12">
        <v>0</v>
      </c>
      <c r="AT239" s="14">
        <v>0</v>
      </c>
    </row>
    <row r="240" spans="1:46" x14ac:dyDescent="0.3">
      <c r="A240" s="13">
        <v>239</v>
      </c>
      <c r="B240" s="7">
        <v>53</v>
      </c>
      <c r="C240" s="7" t="s">
        <v>27</v>
      </c>
      <c r="D240" s="7" t="s">
        <v>15</v>
      </c>
      <c r="E240" s="2" t="s">
        <v>43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1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36">
        <v>0</v>
      </c>
      <c r="T240" s="8">
        <v>50</v>
      </c>
      <c r="U240" s="7">
        <v>164</v>
      </c>
      <c r="V240" s="9">
        <v>64</v>
      </c>
      <c r="W240" s="9">
        <v>24</v>
      </c>
      <c r="X240" s="35" t="s">
        <v>111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35">
        <v>1</v>
      </c>
      <c r="AF240" s="8">
        <v>12.1</v>
      </c>
      <c r="AG240" s="1" t="s">
        <v>24</v>
      </c>
      <c r="AH240" s="1">
        <v>0</v>
      </c>
      <c r="AI240" s="1">
        <v>0</v>
      </c>
      <c r="AJ240" s="7" t="s">
        <v>19</v>
      </c>
      <c r="AK240" s="1">
        <v>1</v>
      </c>
      <c r="AL240" s="1" t="s">
        <v>25</v>
      </c>
      <c r="AM240" s="1">
        <v>1</v>
      </c>
      <c r="AN240" s="12">
        <v>132997</v>
      </c>
      <c r="AO240" s="12">
        <v>7</v>
      </c>
      <c r="AP240" s="12">
        <v>2</v>
      </c>
      <c r="AQ240" s="12">
        <v>5</v>
      </c>
      <c r="AR240" s="12" t="s">
        <v>48</v>
      </c>
      <c r="AS240" s="12">
        <v>0</v>
      </c>
      <c r="AT240" s="14">
        <v>0</v>
      </c>
    </row>
    <row r="241" spans="1:46" ht="26.4" x14ac:dyDescent="0.3">
      <c r="A241" s="13">
        <v>240</v>
      </c>
      <c r="B241" s="7">
        <v>11</v>
      </c>
      <c r="C241" s="7" t="s">
        <v>27</v>
      </c>
      <c r="D241" s="7" t="s">
        <v>29</v>
      </c>
      <c r="E241" s="2" t="s">
        <v>34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1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36">
        <v>0</v>
      </c>
      <c r="T241" s="8">
        <v>29</v>
      </c>
      <c r="U241" s="7">
        <v>139</v>
      </c>
      <c r="V241" s="9">
        <v>98</v>
      </c>
      <c r="W241" s="9">
        <v>24</v>
      </c>
      <c r="X241" s="35" t="s">
        <v>111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35">
        <v>1</v>
      </c>
      <c r="AF241" s="8">
        <v>11.8</v>
      </c>
      <c r="AG241" s="1" t="s">
        <v>24</v>
      </c>
      <c r="AH241" s="1">
        <v>0</v>
      </c>
      <c r="AI241" s="1">
        <v>0</v>
      </c>
      <c r="AJ241" s="7" t="s">
        <v>19</v>
      </c>
      <c r="AK241" s="1">
        <v>1</v>
      </c>
      <c r="AL241" s="1" t="s">
        <v>25</v>
      </c>
      <c r="AM241" s="1">
        <v>1</v>
      </c>
      <c r="AN241" s="12">
        <v>124860</v>
      </c>
      <c r="AO241" s="12">
        <v>7</v>
      </c>
      <c r="AP241" s="12">
        <v>2</v>
      </c>
      <c r="AQ241" s="12">
        <v>5</v>
      </c>
      <c r="AR241" s="12" t="s">
        <v>48</v>
      </c>
      <c r="AS241" s="12">
        <v>0</v>
      </c>
      <c r="AT241" s="14">
        <v>0</v>
      </c>
    </row>
    <row r="242" spans="1:46" x14ac:dyDescent="0.3">
      <c r="A242" s="13">
        <v>241</v>
      </c>
      <c r="B242" s="7">
        <v>5</v>
      </c>
      <c r="C242" s="7" t="s">
        <v>14</v>
      </c>
      <c r="D242" s="7" t="s">
        <v>29</v>
      </c>
      <c r="E242" s="2" t="s">
        <v>16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1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36">
        <v>0</v>
      </c>
      <c r="T242" s="8">
        <v>16.899999999999999</v>
      </c>
      <c r="U242" s="7">
        <v>118</v>
      </c>
      <c r="V242" s="9">
        <v>118</v>
      </c>
      <c r="W242" s="9">
        <v>24</v>
      </c>
      <c r="X242" s="1" t="s">
        <v>40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1</v>
      </c>
      <c r="AE242" s="1">
        <v>0</v>
      </c>
      <c r="AF242" s="8">
        <v>11.5</v>
      </c>
      <c r="AG242" s="1" t="s">
        <v>24</v>
      </c>
      <c r="AH242" s="1">
        <v>0</v>
      </c>
      <c r="AI242" s="1">
        <v>0</v>
      </c>
      <c r="AJ242" s="7" t="s">
        <v>19</v>
      </c>
      <c r="AK242" s="1">
        <v>1</v>
      </c>
      <c r="AL242" s="1" t="s">
        <v>25</v>
      </c>
      <c r="AM242" s="1">
        <v>1</v>
      </c>
      <c r="AN242" s="12">
        <v>118607</v>
      </c>
      <c r="AO242" s="12">
        <v>7</v>
      </c>
      <c r="AP242" s="12">
        <v>1</v>
      </c>
      <c r="AQ242" s="12">
        <v>6</v>
      </c>
      <c r="AR242" s="12" t="s">
        <v>48</v>
      </c>
      <c r="AS242" s="12">
        <v>0</v>
      </c>
      <c r="AT242" s="14">
        <v>0</v>
      </c>
    </row>
    <row r="243" spans="1:46" x14ac:dyDescent="0.3">
      <c r="A243" s="13">
        <v>242</v>
      </c>
      <c r="B243" s="7">
        <v>52</v>
      </c>
      <c r="C243" s="7" t="s">
        <v>14</v>
      </c>
      <c r="D243" s="7" t="s">
        <v>15</v>
      </c>
      <c r="E243" s="2" t="s">
        <v>110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1</v>
      </c>
      <c r="T243" s="8">
        <v>54</v>
      </c>
      <c r="U243" s="7">
        <v>162</v>
      </c>
      <c r="V243" s="9">
        <v>80</v>
      </c>
      <c r="W243" s="9">
        <v>20</v>
      </c>
      <c r="X243" s="35" t="s">
        <v>111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35">
        <v>1</v>
      </c>
      <c r="AF243" s="8">
        <v>11.5</v>
      </c>
      <c r="AG243" s="1" t="s">
        <v>24</v>
      </c>
      <c r="AH243" s="1">
        <v>0</v>
      </c>
      <c r="AI243" s="1">
        <v>0</v>
      </c>
      <c r="AJ243" s="7" t="s">
        <v>19</v>
      </c>
      <c r="AK243" s="1">
        <v>1</v>
      </c>
      <c r="AL243" s="1" t="s">
        <v>25</v>
      </c>
      <c r="AM243" s="1">
        <v>1</v>
      </c>
      <c r="AN243" s="12">
        <v>248031</v>
      </c>
      <c r="AO243" s="12">
        <v>10</v>
      </c>
      <c r="AP243" s="12">
        <v>4</v>
      </c>
      <c r="AQ243" s="12">
        <v>6</v>
      </c>
      <c r="AR243" s="12" t="s">
        <v>47</v>
      </c>
      <c r="AS243" s="12">
        <v>1</v>
      </c>
      <c r="AT243" s="14">
        <v>20900</v>
      </c>
    </row>
    <row r="244" spans="1:46" x14ac:dyDescent="0.3">
      <c r="A244" s="13">
        <v>243</v>
      </c>
      <c r="B244" s="7">
        <v>72</v>
      </c>
      <c r="C244" s="7" t="s">
        <v>14</v>
      </c>
      <c r="D244" s="7" t="s">
        <v>15</v>
      </c>
      <c r="E244" s="2" t="s">
        <v>110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1</v>
      </c>
      <c r="T244" s="8">
        <v>62</v>
      </c>
      <c r="U244" s="7">
        <v>165</v>
      </c>
      <c r="V244" s="9">
        <v>112</v>
      </c>
      <c r="W244" s="9">
        <v>21</v>
      </c>
      <c r="X244" s="35" t="s">
        <v>111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35">
        <v>1</v>
      </c>
      <c r="AF244" s="8">
        <v>14.6</v>
      </c>
      <c r="AG244" s="7" t="s">
        <v>18</v>
      </c>
      <c r="AH244" s="1">
        <v>1</v>
      </c>
      <c r="AI244" s="7">
        <v>0</v>
      </c>
      <c r="AJ244" s="7" t="s">
        <v>19</v>
      </c>
      <c r="AK244" s="1">
        <v>1</v>
      </c>
      <c r="AL244" s="7" t="s">
        <v>20</v>
      </c>
      <c r="AM244" s="1">
        <v>0</v>
      </c>
      <c r="AN244" s="12">
        <v>73682</v>
      </c>
      <c r="AO244" s="12">
        <v>5</v>
      </c>
      <c r="AP244" s="12">
        <v>3</v>
      </c>
      <c r="AQ244" s="12">
        <v>2</v>
      </c>
      <c r="AR244" s="12" t="s">
        <v>48</v>
      </c>
      <c r="AS244" s="12">
        <v>0</v>
      </c>
      <c r="AT244" s="14">
        <v>0</v>
      </c>
    </row>
    <row r="245" spans="1:46" x14ac:dyDescent="0.3">
      <c r="A245" s="13">
        <v>244</v>
      </c>
      <c r="B245" s="7">
        <v>51</v>
      </c>
      <c r="C245" s="7" t="s">
        <v>14</v>
      </c>
      <c r="D245" s="7" t="s">
        <v>15</v>
      </c>
      <c r="E245" s="2" t="s">
        <v>16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1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36">
        <v>0</v>
      </c>
      <c r="T245" s="8">
        <v>69</v>
      </c>
      <c r="U245" s="7">
        <v>176</v>
      </c>
      <c r="V245" s="9">
        <v>62</v>
      </c>
      <c r="W245" s="9">
        <v>24</v>
      </c>
      <c r="X245" s="35" t="s">
        <v>111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35">
        <v>1</v>
      </c>
      <c r="AF245" s="8">
        <v>13.2</v>
      </c>
      <c r="AG245" s="1" t="s">
        <v>24</v>
      </c>
      <c r="AH245" s="1">
        <v>0</v>
      </c>
      <c r="AI245" s="1">
        <v>0</v>
      </c>
      <c r="AJ245" s="7" t="s">
        <v>19</v>
      </c>
      <c r="AK245" s="1">
        <v>1</v>
      </c>
      <c r="AL245" s="1" t="s">
        <v>25</v>
      </c>
      <c r="AM245" s="1">
        <v>1</v>
      </c>
      <c r="AN245" s="12">
        <v>295155</v>
      </c>
      <c r="AO245" s="12">
        <v>10</v>
      </c>
      <c r="AP245" s="12">
        <v>3</v>
      </c>
      <c r="AQ245" s="12">
        <v>7</v>
      </c>
      <c r="AR245" s="12" t="s">
        <v>47</v>
      </c>
      <c r="AS245" s="12">
        <v>1</v>
      </c>
      <c r="AT245" s="14">
        <v>35000</v>
      </c>
    </row>
    <row r="246" spans="1:46" x14ac:dyDescent="0.3">
      <c r="A246" s="13">
        <v>245</v>
      </c>
      <c r="B246" s="7">
        <v>58</v>
      </c>
      <c r="C246" s="7" t="s">
        <v>14</v>
      </c>
      <c r="D246" s="7" t="s">
        <v>15</v>
      </c>
      <c r="E246" s="2" t="s">
        <v>22</v>
      </c>
      <c r="F246" s="2">
        <v>0</v>
      </c>
      <c r="G246" s="2">
        <v>0</v>
      </c>
      <c r="H246" s="2">
        <v>0</v>
      </c>
      <c r="I246" s="2">
        <v>1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36">
        <v>0</v>
      </c>
      <c r="T246" s="8">
        <v>57</v>
      </c>
      <c r="U246" s="7">
        <v>159</v>
      </c>
      <c r="V246" s="9">
        <v>58</v>
      </c>
      <c r="W246" s="9">
        <v>24</v>
      </c>
      <c r="X246" s="1" t="s">
        <v>40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1</v>
      </c>
      <c r="AE246" s="1">
        <v>0</v>
      </c>
      <c r="AF246" s="8">
        <v>10.6</v>
      </c>
      <c r="AG246" s="1" t="s">
        <v>24</v>
      </c>
      <c r="AH246" s="1">
        <v>0</v>
      </c>
      <c r="AI246" s="1">
        <v>0</v>
      </c>
      <c r="AJ246" s="7" t="s">
        <v>19</v>
      </c>
      <c r="AK246" s="1">
        <v>1</v>
      </c>
      <c r="AL246" s="1" t="s">
        <v>25</v>
      </c>
      <c r="AM246" s="1">
        <v>1</v>
      </c>
      <c r="AN246" s="12">
        <v>200321</v>
      </c>
      <c r="AO246" s="12">
        <v>11</v>
      </c>
      <c r="AP246" s="12">
        <v>2</v>
      </c>
      <c r="AQ246" s="12">
        <v>9</v>
      </c>
      <c r="AR246" s="12" t="s">
        <v>47</v>
      </c>
      <c r="AS246" s="12">
        <v>1</v>
      </c>
      <c r="AT246" s="14">
        <v>26000</v>
      </c>
    </row>
    <row r="247" spans="1:46" x14ac:dyDescent="0.3">
      <c r="A247" s="13">
        <v>246</v>
      </c>
      <c r="B247" s="7">
        <v>44</v>
      </c>
      <c r="C247" s="7" t="s">
        <v>14</v>
      </c>
      <c r="D247" s="7" t="s">
        <v>15</v>
      </c>
      <c r="E247" s="2" t="s">
        <v>22</v>
      </c>
      <c r="F247" s="2">
        <v>0</v>
      </c>
      <c r="G247" s="2">
        <v>0</v>
      </c>
      <c r="H247" s="2">
        <v>0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36">
        <v>0</v>
      </c>
      <c r="T247" s="8">
        <v>58</v>
      </c>
      <c r="U247" s="7">
        <v>159</v>
      </c>
      <c r="V247" s="9">
        <v>68</v>
      </c>
      <c r="W247" s="9">
        <v>24</v>
      </c>
      <c r="X247" s="1" t="s">
        <v>26</v>
      </c>
      <c r="Y247" s="1">
        <v>0</v>
      </c>
      <c r="Z247" s="1">
        <v>0</v>
      </c>
      <c r="AA247" s="1">
        <v>1</v>
      </c>
      <c r="AB247" s="1">
        <v>0</v>
      </c>
      <c r="AC247" s="1">
        <v>0</v>
      </c>
      <c r="AD247" s="1">
        <v>0</v>
      </c>
      <c r="AE247" s="1">
        <v>0</v>
      </c>
      <c r="AF247" s="8">
        <v>15.2</v>
      </c>
      <c r="AG247" s="1" t="s">
        <v>24</v>
      </c>
      <c r="AH247" s="1">
        <v>0</v>
      </c>
      <c r="AI247" s="1">
        <v>0</v>
      </c>
      <c r="AJ247" s="7" t="s">
        <v>19</v>
      </c>
      <c r="AK247" s="1">
        <v>1</v>
      </c>
      <c r="AL247" s="1" t="s">
        <v>25</v>
      </c>
      <c r="AM247" s="1">
        <v>1</v>
      </c>
      <c r="AN247" s="12">
        <v>191188</v>
      </c>
      <c r="AO247" s="12">
        <v>13</v>
      </c>
      <c r="AP247" s="12">
        <v>5</v>
      </c>
      <c r="AQ247" s="12">
        <v>8</v>
      </c>
      <c r="AR247" s="12" t="s">
        <v>48</v>
      </c>
      <c r="AS247" s="12">
        <v>0</v>
      </c>
      <c r="AT247" s="14">
        <v>0</v>
      </c>
    </row>
    <row r="248" spans="1:46" x14ac:dyDescent="0.3">
      <c r="A248" s="13">
        <v>247</v>
      </c>
      <c r="B248" s="7">
        <v>60</v>
      </c>
      <c r="C248" s="7" t="s">
        <v>14</v>
      </c>
      <c r="D248" s="7" t="s">
        <v>15</v>
      </c>
      <c r="E248" s="2" t="s">
        <v>16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1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36">
        <v>0</v>
      </c>
      <c r="T248" s="8">
        <v>65</v>
      </c>
      <c r="U248" s="7">
        <v>165</v>
      </c>
      <c r="V248" s="9">
        <v>98</v>
      </c>
      <c r="W248" s="9">
        <v>17</v>
      </c>
      <c r="X248" s="35" t="s">
        <v>111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35">
        <v>1</v>
      </c>
      <c r="AF248" s="8">
        <v>14.5</v>
      </c>
      <c r="AG248" s="7" t="s">
        <v>18</v>
      </c>
      <c r="AH248" s="1">
        <v>1</v>
      </c>
      <c r="AI248" s="7">
        <v>0</v>
      </c>
      <c r="AJ248" s="7" t="s">
        <v>19</v>
      </c>
      <c r="AK248" s="1">
        <v>1</v>
      </c>
      <c r="AL248" s="7" t="s">
        <v>20</v>
      </c>
      <c r="AM248" s="1">
        <v>0</v>
      </c>
      <c r="AN248" s="12">
        <v>202807</v>
      </c>
      <c r="AO248" s="12">
        <v>9</v>
      </c>
      <c r="AP248" s="12">
        <v>6</v>
      </c>
      <c r="AQ248" s="12">
        <v>3</v>
      </c>
      <c r="AR248" s="12" t="s">
        <v>48</v>
      </c>
      <c r="AS248" s="12">
        <v>0</v>
      </c>
      <c r="AT248" s="14">
        <v>0</v>
      </c>
    </row>
    <row r="249" spans="1:46" ht="15" thickBot="1" x14ac:dyDescent="0.35">
      <c r="A249" s="15">
        <v>248</v>
      </c>
      <c r="B249" s="16">
        <v>30</v>
      </c>
      <c r="C249" s="16" t="s">
        <v>14</v>
      </c>
      <c r="D249" s="16" t="s">
        <v>15</v>
      </c>
      <c r="E249" s="17" t="s">
        <v>28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1</v>
      </c>
      <c r="S249" s="36">
        <v>0</v>
      </c>
      <c r="T249" s="18">
        <v>71</v>
      </c>
      <c r="U249" s="16">
        <v>180</v>
      </c>
      <c r="V249" s="19">
        <v>87</v>
      </c>
      <c r="W249" s="19">
        <v>20</v>
      </c>
      <c r="X249" s="35" t="s">
        <v>111</v>
      </c>
      <c r="Y249" s="21">
        <v>0</v>
      </c>
      <c r="Z249" s="21">
        <v>0</v>
      </c>
      <c r="AA249" s="21">
        <v>0</v>
      </c>
      <c r="AB249" s="21">
        <v>0</v>
      </c>
      <c r="AC249" s="21">
        <v>0</v>
      </c>
      <c r="AD249" s="21">
        <v>0</v>
      </c>
      <c r="AE249" s="35">
        <v>1</v>
      </c>
      <c r="AF249" s="18">
        <v>12.6</v>
      </c>
      <c r="AG249" s="21" t="s">
        <v>24</v>
      </c>
      <c r="AH249" s="21">
        <v>0</v>
      </c>
      <c r="AI249" s="21">
        <v>0</v>
      </c>
      <c r="AJ249" s="16" t="s">
        <v>19</v>
      </c>
      <c r="AK249" s="21">
        <v>1</v>
      </c>
      <c r="AL249" s="21" t="s">
        <v>25</v>
      </c>
      <c r="AM249" s="21">
        <v>1</v>
      </c>
      <c r="AN249" s="22">
        <v>248112</v>
      </c>
      <c r="AO249" s="22">
        <v>10</v>
      </c>
      <c r="AP249" s="22">
        <v>4</v>
      </c>
      <c r="AQ249" s="22">
        <v>6</v>
      </c>
      <c r="AR249" s="22" t="s">
        <v>47</v>
      </c>
      <c r="AS249" s="22">
        <v>1</v>
      </c>
      <c r="AT249" s="23">
        <v>41800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Copyright @ IIMB</vt:lpstr>
      <vt:lpstr>MH-Raw Data</vt:lpstr>
      <vt:lpstr>Data Description</vt:lpstr>
      <vt:lpstr>MH-Modified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Debraj Bhattacharjee</cp:lastModifiedBy>
  <dcterms:created xsi:type="dcterms:W3CDTF">2015-03-27T04:25:29Z</dcterms:created>
  <dcterms:modified xsi:type="dcterms:W3CDTF">2025-02-10T05:19:03Z</dcterms:modified>
</cp:coreProperties>
</file>